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AG Inventory" sheetId="2" state="visible" r:id="rId4"/>
    <sheet name="DAG Structure" sheetId="3" state="visible" r:id="rId5"/>
    <sheet name="Incident Catalogue" sheetId="4" state="visible" r:id="rId6"/>
    <sheet name="Expected AI RCA" sheetId="5" state="visible" r:id="rId7"/>
    <sheet name="Metadata Mode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<sst xmlns="http://schemas.openxmlformats.org/spreadsheetml/2006/main" count="7390" uniqueCount="1370">
  <si>
    <t xml:space="preserve">AI AutoRCA Platform — Data Architecture Design</t>
  </si>
  <si>
    <t xml:space="preserve">Metadata-driven Airflow DAG platform for Lululemon ETL pipeline monitoring, Datadog observability, and AI-powered Root Cause Analysis</t>
  </si>
  <si>
    <t xml:space="preserve">Platform Summary</t>
  </si>
  <si>
    <t xml:space="preserve">Total DAGs designed</t>
  </si>
  <si>
    <t xml:space="preserve">Total tasks across all DAGs</t>
  </si>
  <si>
    <t xml:space="preserve">Total incident scenarios catalogued</t>
  </si>
  <si>
    <t xml:space="preserve">P1 (Critical priority) DAGs</t>
  </si>
  <si>
    <t xml:space="preserve">P2 (High priority) DAGs</t>
  </si>
  <si>
    <t xml:space="preserve">P3 (Medium/Low priority) DAGs</t>
  </si>
  <si>
    <t xml:space="preserve">Business domains covered</t>
  </si>
  <si>
    <t xml:space="preserve">Metadata model fields defined</t>
  </si>
  <si>
    <t xml:space="preserve">LRJ Category Breakdown (7 DAGs each)</t>
  </si>
  <si>
    <t xml:space="preserve">Category</t>
  </si>
  <si>
    <t xml:space="preserve">DAG Count</t>
  </si>
  <si>
    <t xml:space="preserve">Architecture Pattern</t>
  </si>
  <si>
    <t xml:space="preserve">Expected Long Running Job</t>
  </si>
  <si>
    <t xml:space="preserve">Linear ETL with pre-declared SLA buffer and Datadog duration-trend monitor</t>
  </si>
  <si>
    <t xml:space="preserve">Unexpected Long Running Job</t>
  </si>
  <si>
    <t xml:space="preserve">Fan-out parallel extract -&gt; conditional branch on volume -&gt; fan-in transform</t>
  </si>
  <si>
    <t xml:space="preserve">Long Running Job Failure</t>
  </si>
  <si>
    <t xml:space="preserve">Sequential heavy-compute chain with checkpointing and failure-triggered AutoRCA callback</t>
  </si>
  <si>
    <t xml:space="preserve">Stuck/Hung Job</t>
  </si>
  <si>
    <t xml:space="preserve">External sensor (poke/reschedule) gating a long transform, no timeout guard</t>
  </si>
  <si>
    <t xml:space="preserve">Cascading Delay</t>
  </si>
  <si>
    <t xml:space="preserve">Cross-DAG ExternalTaskSensor chain across 3 upstream domains feeding one consolidation DAG</t>
  </si>
  <si>
    <t xml:space="preserve">Retry Storm</t>
  </si>
  <si>
    <t xml:space="preserve">Dynamic task-mapped API/SFTP calls with aggressive retry+backoff hitting a rate-limited vendor</t>
  </si>
  <si>
    <t xml:space="preserve">Queue Congestion</t>
  </si>
  <si>
    <t xml:space="preserve">High-fan-out dynamic task mapping saturating a shared Celery/Kubernetes executor pool</t>
  </si>
  <si>
    <t xml:space="preserve">Resource Exhaustion</t>
  </si>
  <si>
    <t xml:space="preserve">Single heavy in-memory pandas/dbt transform node co-located with other DAGs on the same worker</t>
  </si>
  <si>
    <t xml:space="preserve">How to use this workbook</t>
  </si>
  <si>
    <t xml:space="preserve">• DAG Inventory: the 56-DAG register — IDs, domains, categories, schedules, SLAs, source/destination systems.</t>
  </si>
  <si>
    <t xml:space="preserve">• DAG Structure: task-level orchestration graph per DAG — upstream/downstream, parallel groups, trigger rules, fan-in/fan-out points.</t>
  </si>
  <si>
    <t xml:space="preserve">• Incident Catalogue: one unique, non-repeating production failure scenario per DAG, written as an incident report.</t>
  </si>
  <si>
    <t xml:space="preserve">• Expected AI RCA: ground truth for evaluating the AI AutoRCA system — what evidence and conclusion it should produce for each incident.</t>
  </si>
  <si>
    <t xml:space="preserve">• Metadata Model: the schema a DAG-factory reads to dynamically generate these 56 DAGs (and scale to 500+) from configuration, not hardcoded code.</t>
  </si>
  <si>
    <t xml:space="preserve">AI AutoRCA Platform — DAG Inventory (56 Production DAGs)</t>
  </si>
  <si>
    <t xml:space="preserve">DAG ID</t>
  </si>
  <si>
    <t xml:space="preserve">DAG Name</t>
  </si>
  <si>
    <t xml:space="preserve">Business Domain</t>
  </si>
  <si>
    <t xml:space="preserve">LRJ Category</t>
  </si>
  <si>
    <t xml:space="preserve">Schedule</t>
  </si>
  <si>
    <t xml:space="preserve">SLA</t>
  </si>
  <si>
    <t xml:space="preserve">Priority</t>
  </si>
  <si>
    <t xml:space="preserve">Criticality</t>
  </si>
  <si>
    <t xml:space="preserve">Source</t>
  </si>
  <si>
    <t xml:space="preserve">Destination</t>
  </si>
  <si>
    <t xml:space="preserve">RTL_PRD_ELRJ</t>
  </si>
  <si>
    <t xml:space="preserve">Product Master full catalog sync approaching SLA ceiling</t>
  </si>
  <si>
    <t xml:space="preserve">Product Master</t>
  </si>
  <si>
    <t xml:space="preserve">0 2 * * *</t>
  </si>
  <si>
    <t xml:space="preserve">4h</t>
  </si>
  <si>
    <t xml:space="preserve">P2</t>
  </si>
  <si>
    <t xml:space="preserve">High</t>
  </si>
  <si>
    <t xml:space="preserve">SAP ERP (Material Master)</t>
  </si>
  <si>
    <t xml:space="preserve">Snowflake RAW.PRODUCT</t>
  </si>
  <si>
    <t xml:space="preserve">RTL_INV_ELRJ</t>
  </si>
  <si>
    <t xml:space="preserve">Inventory full-warehouse reconciliation nearing SLA</t>
  </si>
  <si>
    <t xml:space="preserve">Inventory</t>
  </si>
  <si>
    <t xml:space="preserve">30 1 * * *</t>
  </si>
  <si>
    <t xml:space="preserve">6h</t>
  </si>
  <si>
    <t xml:space="preserve">WMS (Manhattan Active)</t>
  </si>
  <si>
    <t xml:space="preserve">Snowflake RAW.INVENTORY</t>
  </si>
  <si>
    <t xml:space="preserve">RTL_PRC_ELRJ</t>
  </si>
  <si>
    <t xml:space="preserve">Pricing nightly full repricing run at SLA edge</t>
  </si>
  <si>
    <t xml:space="preserve">Pricing</t>
  </si>
  <si>
    <t xml:space="preserve">0 3 * * *</t>
  </si>
  <si>
    <t xml:space="preserve">P1</t>
  </si>
  <si>
    <t xml:space="preserve">Critical</t>
  </si>
  <si>
    <t xml:space="preserve">Pricing Engine (Revionics)</t>
  </si>
  <si>
    <t xml:space="preserve">Snowflake RAW.PRICING</t>
  </si>
  <si>
    <t xml:space="preserve">RTL_ORD_ELRJ</t>
  </si>
  <si>
    <t xml:space="preserve">Orders end-of-day settlement batch at expected long duration</t>
  </si>
  <si>
    <t xml:space="preserve">Orders</t>
  </si>
  <si>
    <t xml:space="preserve">0 23 * * *</t>
  </si>
  <si>
    <t xml:space="preserve">5h (peak calendar override)</t>
  </si>
  <si>
    <t xml:space="preserve">P3</t>
  </si>
  <si>
    <t xml:space="preserve">Medium</t>
  </si>
  <si>
    <t xml:space="preserve">Ecommerce OMS (Salesforce Commerce)</t>
  </si>
  <si>
    <t xml:space="preserve">Snowflake RAW.ORDERS</t>
  </si>
  <si>
    <t xml:space="preserve">RTL_CUS_ELRJ</t>
  </si>
  <si>
    <t xml:space="preserve">Customer 360 identity resolution merge running long by design</t>
  </si>
  <si>
    <t xml:space="preserve">Customers</t>
  </si>
  <si>
    <t xml:space="preserve">0 1 * * *</t>
  </si>
  <si>
    <t xml:space="preserve">6h (Mon), 3h (Tue-Sun)</t>
  </si>
  <si>
    <t xml:space="preserve">CRM (Salesforce Service Cloud)</t>
  </si>
  <si>
    <t xml:space="preserve">Snowflake RAW.CUSTOMER</t>
  </si>
  <si>
    <t xml:space="preserve">RTL_PRM_ELRJ</t>
  </si>
  <si>
    <t xml:space="preserve">Promotions Kafka backfill historical load long by design</t>
  </si>
  <si>
    <t xml:space="preserve">Promotions</t>
  </si>
  <si>
    <t xml:space="preserve">0 0 1 */3 *</t>
  </si>
  <si>
    <t xml:space="preserve">10h</t>
  </si>
  <si>
    <t xml:space="preserve">Low</t>
  </si>
  <si>
    <t xml:space="preserve">Promotion Engine (Kafka topic)</t>
  </si>
  <si>
    <t xml:space="preserve">Snowflake RAW.PROMOTION</t>
  </si>
  <si>
    <t xml:space="preserve">RTL_SUP_ELRJ</t>
  </si>
  <si>
    <t xml:space="preserve">Suppliers EDI 856 ASN full-vendor sync at expected duration</t>
  </si>
  <si>
    <t xml:space="preserve">Suppliers</t>
  </si>
  <si>
    <t xml:space="preserve">0 4 * * *</t>
  </si>
  <si>
    <t xml:space="preserve">Vendor SFTP (EDI 850/856)</t>
  </si>
  <si>
    <t xml:space="preserve">Snowflake RAW.SUPPLIER</t>
  </si>
  <si>
    <t xml:space="preserve">RTL_LOG_ULRJ</t>
  </si>
  <si>
    <t xml:space="preserve">Logistics carrier rate-shopping job duration spike</t>
  </si>
  <si>
    <t xml:space="preserve">Logistics</t>
  </si>
  <si>
    <t xml:space="preserve">*/30 6-20 * * *</t>
  </si>
  <si>
    <t xml:space="preserve">45m</t>
  </si>
  <si>
    <t xml:space="preserve">Carrier REST API (FedEx/UPS)</t>
  </si>
  <si>
    <t xml:space="preserve">Snowflake RAW.LOGISTICS</t>
  </si>
  <si>
    <t xml:space="preserve">RTL_FCT_ULRJ</t>
  </si>
  <si>
    <t xml:space="preserve">Forecasting feature-store extraction unexpectedly long</t>
  </si>
  <si>
    <t xml:space="preserve">Forecasting</t>
  </si>
  <si>
    <t xml:space="preserve">1h</t>
  </si>
  <si>
    <t xml:space="preserve">ML Feature Store (Vertex AI)</t>
  </si>
  <si>
    <t xml:space="preserve">Snowflake RAW.FORECAST</t>
  </si>
  <si>
    <t xml:space="preserve">RTL_FIN_ULRJ</t>
  </si>
  <si>
    <t xml:space="preserve">Finance GL trial balance close job duration anomaly</t>
  </si>
  <si>
    <t xml:space="preserve">Finance</t>
  </si>
  <si>
    <t xml:space="preserve">0 5 1 * *</t>
  </si>
  <si>
    <t xml:space="preserve">3h</t>
  </si>
  <si>
    <t xml:space="preserve">ERP GL (SAP FI/CO)</t>
  </si>
  <si>
    <t xml:space="preserve">Snowflake RAW.FINANCE</t>
  </si>
  <si>
    <t xml:space="preserve">RTL_MKT_ULRJ</t>
  </si>
  <si>
    <t xml:space="preserve">Marketing multi-channel ad-spend aggregation unexpectedly long</t>
  </si>
  <si>
    <t xml:space="preserve">Marketing</t>
  </si>
  <si>
    <t xml:space="preserve">Ad Platform APIs (Meta/Google Ads)</t>
  </si>
  <si>
    <t xml:space="preserve">Snowflake RAW.MARKETING</t>
  </si>
  <si>
    <t xml:space="preserve">RTL_RET_ULRJ</t>
  </si>
  <si>
    <t xml:space="preserve">Returns RMA disposition batch duration spike</t>
  </si>
  <si>
    <t xml:space="preserve">Returns</t>
  </si>
  <si>
    <t xml:space="preserve">1.5h</t>
  </si>
  <si>
    <t xml:space="preserve">RMA System (Narvar)</t>
  </si>
  <si>
    <t xml:space="preserve">Snowflake RAW.RETURNS</t>
  </si>
  <si>
    <t xml:space="preserve">RTL_STS_ULRJ</t>
  </si>
  <si>
    <t xml:space="preserve">Store Sales POS Kafka daily rollup unexpectedly long</t>
  </si>
  <si>
    <t xml:space="preserve">Store Sales</t>
  </si>
  <si>
    <t xml:space="preserve">15 6 * * *</t>
  </si>
  <si>
    <t xml:space="preserve">30m</t>
  </si>
  <si>
    <t xml:space="preserve">POS Kafka Stream</t>
  </si>
  <si>
    <t xml:space="preserve">Snowflake RAW.STORE_SALES</t>
  </si>
  <si>
    <t xml:space="preserve">RTL_WHS_ULRJ</t>
  </si>
  <si>
    <t xml:space="preserve">Ecommerce Shopify order-webhook backfill unexpectedly long</t>
  </si>
  <si>
    <t xml:space="preserve">Warehouse</t>
  </si>
  <si>
    <t xml:space="preserve">5 * * * *</t>
  </si>
  <si>
    <t xml:space="preserve">15m</t>
  </si>
  <si>
    <t xml:space="preserve">WMS + MinIO (pallet manifests)</t>
  </si>
  <si>
    <t xml:space="preserve">Snowflake RAW.WAREHOUSE</t>
  </si>
  <si>
    <t xml:space="preserve">RTL_ECM_LRJF</t>
  </si>
  <si>
    <t xml:space="preserve">Customer 360 identity merge job fails on deadlock</t>
  </si>
  <si>
    <t xml:space="preserve">Ecommerce</t>
  </si>
  <si>
    <t xml:space="preserve">Shopify Plus API</t>
  </si>
  <si>
    <t xml:space="preserve">Snowflake RAW.ECOMMERCE</t>
  </si>
  <si>
    <t xml:space="preserve">RTL_PRD_LRJF</t>
  </si>
  <si>
    <t xml:space="preserve">Pricing Snowflake repricing job fails on warehouse suspension</t>
  </si>
  <si>
    <t xml:space="preserve">RTL_INV_LRJF</t>
  </si>
  <si>
    <t xml:space="preserve">Suppliers EDI ASN ingestion fails on disk full</t>
  </si>
  <si>
    <t xml:space="preserve">0 5 * * *</t>
  </si>
  <si>
    <t xml:space="preserve">RTL_PRC_LRJF</t>
  </si>
  <si>
    <t xml:space="preserve">Forecasting model-scoring batch fails on OOM</t>
  </si>
  <si>
    <t xml:space="preserve">0 3 * * 1</t>
  </si>
  <si>
    <t xml:space="preserve">7h</t>
  </si>
  <si>
    <t xml:space="preserve">RTL_ORD_LRJF</t>
  </si>
  <si>
    <t xml:space="preserve">Finance intercompany reconciliation fails on referential integrity</t>
  </si>
  <si>
    <t xml:space="preserve">0 6 1 * *</t>
  </si>
  <si>
    <t xml:space="preserve">RTL_CUS_LRJF</t>
  </si>
  <si>
    <t xml:space="preserve">Warehouse slotting-optimization batch fails on secret expiry</t>
  </si>
  <si>
    <t xml:space="preserve">5h</t>
  </si>
  <si>
    <t xml:space="preserve">RTL_PRM_LRJF</t>
  </si>
  <si>
    <t xml:space="preserve">Ecommerce catalog sync fails on schema evolution</t>
  </si>
  <si>
    <t xml:space="preserve">*/20 * * * *</t>
  </si>
  <si>
    <t xml:space="preserve">20m</t>
  </si>
  <si>
    <t xml:space="preserve">RTL_SUP_STUCK</t>
  </si>
  <si>
    <t xml:space="preserve">Suppliers vendor-portal sensor hangs indefinitely</t>
  </si>
  <si>
    <t xml:space="preserve">RTL_LOG_STUCK</t>
  </si>
  <si>
    <t xml:space="preserve">Logistics carrier tracking-webhook listener stuck</t>
  </si>
  <si>
    <t xml:space="preserve">*/15 * * * *</t>
  </si>
  <si>
    <t xml:space="preserve">RTL_FCT_STUCK</t>
  </si>
  <si>
    <t xml:space="preserve">Warehouse pallet-manifest ETL hangs on a network call</t>
  </si>
  <si>
    <t xml:space="preserve">*/30 * * * *</t>
  </si>
  <si>
    <t xml:space="preserve">RTL_FIN_STUCK</t>
  </si>
  <si>
    <t xml:space="preserve">Store Sales end-of-day Postgres lock wait hangs</t>
  </si>
  <si>
    <t xml:space="preserve">30 22 * * *</t>
  </si>
  <si>
    <t xml:space="preserve">RTL_MKT_STUCK</t>
  </si>
  <si>
    <t xml:space="preserve">Returns disposition workflow hangs on a stalled ML endpoint</t>
  </si>
  <si>
    <t xml:space="preserve">0 */2 * * *</t>
  </si>
  <si>
    <t xml:space="preserve">RTL_RET_STUCK</t>
  </si>
  <si>
    <t xml:space="preserve">Finance bank-statement reconciliation sensor hangs</t>
  </si>
  <si>
    <t xml:space="preserve">0 6 * * *</t>
  </si>
  <si>
    <t xml:space="preserve">2h</t>
  </si>
  <si>
    <t xml:space="preserve">RTL_STS_STUCK</t>
  </si>
  <si>
    <t xml:space="preserve">Marketing campaign-attribution join hangs on a cartesian product</t>
  </si>
  <si>
    <t xml:space="preserve">RTL_WHS_CASC</t>
  </si>
  <si>
    <t xml:space="preserve">Store Sales delay cascades into Finance daily close</t>
  </si>
  <si>
    <t xml:space="preserve">0 7 * * *</t>
  </si>
  <si>
    <t xml:space="preserve">2h (from upstream completion)</t>
  </si>
  <si>
    <t xml:space="preserve">RTL_ECM_CASC</t>
  </si>
  <si>
    <t xml:space="preserve">Inventory reconciliation delay cascades into Pricing repricing</t>
  </si>
  <si>
    <t xml:space="preserve">3h (from upstream completion)</t>
  </si>
  <si>
    <t xml:space="preserve">RTL_PRD_CASC</t>
  </si>
  <si>
    <t xml:space="preserve">Suppliers ASN delay cascades into Warehouse receiving schedule</t>
  </si>
  <si>
    <t xml:space="preserve">1.5h (from upstream completion)</t>
  </si>
  <si>
    <t xml:space="preserve">RTL_INV_CASC</t>
  </si>
  <si>
    <t xml:space="preserve">Product Master sync delay cascades into Ecommerce catalog publish</t>
  </si>
  <si>
    <t xml:space="preserve">0 8 * * *</t>
  </si>
  <si>
    <t xml:space="preserve">1h (from upstream completion)</t>
  </si>
  <si>
    <t xml:space="preserve">RTL_PRC_CASC</t>
  </si>
  <si>
    <t xml:space="preserve">Customers identity resolution delay cascades into Marketing segmentation</t>
  </si>
  <si>
    <t xml:space="preserve">0 9 * * *</t>
  </si>
  <si>
    <t xml:space="preserve">RTL_ORD_CASC</t>
  </si>
  <si>
    <t xml:space="preserve">Forecasting delay cascades into Purchasing/Replenishment recommendations</t>
  </si>
  <si>
    <t xml:space="preserve">0 10 * * 1</t>
  </si>
  <si>
    <t xml:space="preserve">RTL_CUS_CASC</t>
  </si>
  <si>
    <t xml:space="preserve">Logistics carrier data delay cascades into Returns RMA label generation</t>
  </si>
  <si>
    <t xml:space="preserve">RTL_PRM_RETRY</t>
  </si>
  <si>
    <t xml:space="preserve">Marketing ad-platform API retry storm</t>
  </si>
  <si>
    <t xml:space="preserve">RTL_SUP_RETRY</t>
  </si>
  <si>
    <t xml:space="preserve">Suppliers vendor SFTP retry storm</t>
  </si>
  <si>
    <t xml:space="preserve">RTL_LOG_RETRY</t>
  </si>
  <si>
    <t xml:space="preserve">Orders payment-gateway verification retry storm</t>
  </si>
  <si>
    <t xml:space="preserve">*/5 * * * *</t>
  </si>
  <si>
    <t xml:space="preserve">10m</t>
  </si>
  <si>
    <t xml:space="preserve">RTL_FCT_RETRY</t>
  </si>
  <si>
    <t xml:space="preserve">Customers CRM sync retry storm</t>
  </si>
  <si>
    <t xml:space="preserve">RTL_FIN_RETRY</t>
  </si>
  <si>
    <t xml:space="preserve">Ecommerce inventory-availability API retry storm</t>
  </si>
  <si>
    <t xml:space="preserve">*/2 * * * *</t>
  </si>
  <si>
    <t xml:space="preserve">5m</t>
  </si>
  <si>
    <t xml:space="preserve">RTL_MKT_RETRY</t>
  </si>
  <si>
    <t xml:space="preserve">Store Sales POS heartbeat retry storm</t>
  </si>
  <si>
    <t xml:space="preserve">RTL_RET_RETRY</t>
  </si>
  <si>
    <t xml:space="preserve">Finance bank-feed reconciliation retry storm</t>
  </si>
  <si>
    <t xml:space="preserve">RTL_STS_QUEUE</t>
  </si>
  <si>
    <t xml:space="preserve">Orders fulfillment task-mapping saturates the Celery executor pool</t>
  </si>
  <si>
    <t xml:space="preserve">*/10 * * * *</t>
  </si>
  <si>
    <t xml:space="preserve">RTL_WHS_QUEUE</t>
  </si>
  <si>
    <t xml:space="preserve">Marketing campaign-content-generation queue congestion</t>
  </si>
  <si>
    <t xml:space="preserve">RTL_ECM_QUEUE</t>
  </si>
  <si>
    <t xml:space="preserve">Warehouse pick-wave generation Kubernetes pod queue congestion</t>
  </si>
  <si>
    <t xml:space="preserve">0 5,13,21 * * *</t>
  </si>
  <si>
    <t xml:space="preserve">RTL_PRD_QUEUE</t>
  </si>
  <si>
    <t xml:space="preserve">Suppliers vendor-document OCR queue congestion</t>
  </si>
  <si>
    <t xml:space="preserve">RTL_INV_QUEUE</t>
  </si>
  <si>
    <t xml:space="preserve">Store Sales nightly rollup DAG-level scheduler congestion</t>
  </si>
  <si>
    <t xml:space="preserve">30 23 * * *</t>
  </si>
  <si>
    <t xml:space="preserve">RTL_PRC_QUEUE</t>
  </si>
  <si>
    <t xml:space="preserve">Ecommerce personalization-model batch-scoring queue congestion</t>
  </si>
  <si>
    <t xml:space="preserve">0 */3 * * *</t>
  </si>
  <si>
    <t xml:space="preserve">RTL_ORD_QUEUE</t>
  </si>
  <si>
    <t xml:space="preserve">Returns image-inspection queue congestion</t>
  </si>
  <si>
    <t xml:space="preserve">0 * * * *</t>
  </si>
  <si>
    <t xml:space="preserve">RTL_CUS_RES</t>
  </si>
  <si>
    <t xml:space="preserve">Forecasting in-memory ensemble blend exhausts worker memory</t>
  </si>
  <si>
    <t xml:space="preserve">RTL_PRM_RES</t>
  </si>
  <si>
    <t xml:space="preserve">Finance GL close CPU saturation on a co-located worker</t>
  </si>
  <si>
    <t xml:space="preserve">RTL_SUP_RES</t>
  </si>
  <si>
    <t xml:space="preserve">Warehouse slotting-optimization solver exhausts memory</t>
  </si>
  <si>
    <t xml:space="preserve">RTL_LOG_RES</t>
  </si>
  <si>
    <t xml:space="preserve">Suppliers vendor-document OCR GPU exhaustion</t>
  </si>
  <si>
    <t xml:space="preserve">RTL_FCT_RES</t>
  </si>
  <si>
    <t xml:space="preserve">Ecommerce real-time personalization cache exhausts Redis memory</t>
  </si>
  <si>
    <t xml:space="preserve">RTL_FIN_RES</t>
  </si>
  <si>
    <t xml:space="preserve">Promotions rules-engine evaluation exhausts CPU on shared node</t>
  </si>
  <si>
    <t xml:space="preserve">RTL_MKT_RES</t>
  </si>
  <si>
    <t xml:space="preserve">Logistics route-optimization solver exhausts memory during peak shipping</t>
  </si>
  <si>
    <t xml:space="preserve">DAG Structure — Task-Level Orchestration Graph (all 56 DAGs)</t>
  </si>
  <si>
    <t xml:space="preserve">Task Name</t>
  </si>
  <si>
    <t xml:space="preserve">Task Type</t>
  </si>
  <si>
    <t xml:space="preserve">Upstream Tasks</t>
  </si>
  <si>
    <t xml:space="preserve">Downstream Tasks</t>
  </si>
  <si>
    <t xml:space="preserve">Parallel Group</t>
  </si>
  <si>
    <t xml:space="preserve">Trigger Rule</t>
  </si>
  <si>
    <t xml:space="preserve">Dependencies</t>
  </si>
  <si>
    <t xml:space="preserve">start</t>
  </si>
  <si>
    <t xml:space="preserve">EmptyOperator</t>
  </si>
  <si>
    <t xml:space="preserve">-</t>
  </si>
  <si>
    <t xml:space="preserve">extract_prd_source</t>
  </si>
  <si>
    <t xml:space="preserve">all_success</t>
  </si>
  <si>
    <t xml:space="preserve">DAG entry point</t>
  </si>
  <si>
    <t xml:space="preserve">PythonOperator (API/DB extract)</t>
  </si>
  <si>
    <t xml:space="preserve">validate_schema</t>
  </si>
  <si>
    <t xml:space="preserve">Pulls from Product Master source system</t>
  </si>
  <si>
    <t xml:space="preserve">BranchPythonOperator</t>
  </si>
  <si>
    <t xml:space="preserve">schema_ok, schema_drift_alert</t>
  </si>
  <si>
    <t xml:space="preserve">Validates inbound schema against contract</t>
  </si>
  <si>
    <t xml:space="preserve">schema_ok</t>
  </si>
  <si>
    <t xml:space="preserve">transform_p1, transform_p2, transform_p3</t>
  </si>
  <si>
    <t xml:space="preserve">Branch: schema passed</t>
  </si>
  <si>
    <t xml:space="preserve">schema_drift_alert</t>
  </si>
  <si>
    <t xml:space="preserve">PythonOperator (Teams notify)</t>
  </si>
  <si>
    <t xml:space="preserve">join_transform</t>
  </si>
  <si>
    <t xml:space="preserve">Branch: schema drift detected, non-blocking alert</t>
  </si>
  <si>
    <t xml:space="preserve">transform_p1</t>
  </si>
  <si>
    <t xml:space="preserve">PythonOperator (partition 1)</t>
  </si>
  <si>
    <t xml:space="preserve">transform_fanout</t>
  </si>
  <si>
    <t xml:space="preserve">Parallel partition transform</t>
  </si>
  <si>
    <t xml:space="preserve">transform_p2</t>
  </si>
  <si>
    <t xml:space="preserve">PythonOperator (partition 2)</t>
  </si>
  <si>
    <t xml:space="preserve">transform_p3</t>
  </si>
  <si>
    <t xml:space="preserve">PythonOperator (partition 3)</t>
  </si>
  <si>
    <t xml:space="preserve">EmptyOperator (fan-in)</t>
  </si>
  <si>
    <t xml:space="preserve">transform_p1, transform_p2, transform_p3, schema_drift_alert</t>
  </si>
  <si>
    <t xml:space="preserve">load_snowflake_prd</t>
  </si>
  <si>
    <t xml:space="preserve">none_failed_min_one_success</t>
  </si>
  <si>
    <t xml:space="preserve">Fan-in of parallel partitions</t>
  </si>
  <si>
    <t xml:space="preserve">SnowflakeOperator (MERGE)</t>
  </si>
  <si>
    <t xml:space="preserve">sla_buffer_check</t>
  </si>
  <si>
    <t xml:space="preserve">Loads Product Master RAW/staging table</t>
  </si>
  <si>
    <t xml:space="preserve">within_sla, near_sla_warning</t>
  </si>
  <si>
    <t xml:space="preserve">Compares run duration to SLA ratio threshold (85%)</t>
  </si>
  <si>
    <t xml:space="preserve">within_sla</t>
  </si>
  <si>
    <t xml:space="preserve">end</t>
  </si>
  <si>
    <t xml:space="preserve">Branch: comfortably within SLA</t>
  </si>
  <si>
    <t xml:space="preserve">near_sla_warning</t>
  </si>
  <si>
    <t xml:space="preserve">PythonOperator (Datadog custom metric + Teams)</t>
  </si>
  <si>
    <t xml:space="preserve">Branch: near SLA ceiling, early warning to AutoRCA</t>
  </si>
  <si>
    <t xml:space="preserve">DAG completion</t>
  </si>
  <si>
    <t xml:space="preserve">extract_inv_source</t>
  </si>
  <si>
    <t xml:space="preserve">Pulls from Inventory source system</t>
  </si>
  <si>
    <t xml:space="preserve">load_snowflake_inv</t>
  </si>
  <si>
    <t xml:space="preserve">Loads Inventory RAW/staging table</t>
  </si>
  <si>
    <t xml:space="preserve">extract_prc_source</t>
  </si>
  <si>
    <t xml:space="preserve">Pulls from Pricing source system</t>
  </si>
  <si>
    <t xml:space="preserve">load_snowflake_prc</t>
  </si>
  <si>
    <t xml:space="preserve">Loads Pricing RAW/staging table</t>
  </si>
  <si>
    <t xml:space="preserve">extract_ord_source</t>
  </si>
  <si>
    <t xml:space="preserve">Pulls from Orders source system</t>
  </si>
  <si>
    <t xml:space="preserve">load_snowflake_ord</t>
  </si>
  <si>
    <t xml:space="preserve">Loads Orders RAW/staging table</t>
  </si>
  <si>
    <t xml:space="preserve">extract_cus_source</t>
  </si>
  <si>
    <t xml:space="preserve">Pulls from Customers source system</t>
  </si>
  <si>
    <t xml:space="preserve">load_snowflake_cus</t>
  </si>
  <si>
    <t xml:space="preserve">Loads Customers RAW/staging table</t>
  </si>
  <si>
    <t xml:space="preserve">extract_prm_source</t>
  </si>
  <si>
    <t xml:space="preserve">Pulls from Promotions source system</t>
  </si>
  <si>
    <t xml:space="preserve">load_snowflake_prm</t>
  </si>
  <si>
    <t xml:space="preserve">Loads Promotions RAW/staging table</t>
  </si>
  <si>
    <t xml:space="preserve">extract_sup_source</t>
  </si>
  <si>
    <t xml:space="preserve">Pulls from Suppliers source system</t>
  </si>
  <si>
    <t xml:space="preserve">load_snowflake_sup</t>
  </si>
  <si>
    <t xml:space="preserve">Loads Suppliers RAW/staging table</t>
  </si>
  <si>
    <t xml:space="preserve">extract_p1, extract_p2, extract_p3, extract_p4</t>
  </si>
  <si>
    <t xml:space="preserve">extract_p1</t>
  </si>
  <si>
    <t xml:space="preserve">PythonOperator (partition extract)</t>
  </si>
  <si>
    <t xml:space="preserve">volume_check</t>
  </si>
  <si>
    <t xml:space="preserve">extract_fanout</t>
  </si>
  <si>
    <t xml:space="preserve">Parallel extract shard</t>
  </si>
  <si>
    <t xml:space="preserve">extract_p2</t>
  </si>
  <si>
    <t xml:space="preserve">extract_p3</t>
  </si>
  <si>
    <t xml:space="preserve">extract_p4</t>
  </si>
  <si>
    <t xml:space="preserve">extract_p1..p4</t>
  </si>
  <si>
    <t xml:space="preserve">normal_volume, high_volume_path</t>
  </si>
  <si>
    <t xml:space="preserve">Compares extracted row count to historical baseline</t>
  </si>
  <si>
    <t xml:space="preserve">normal_volume</t>
  </si>
  <si>
    <t xml:space="preserve">transform_standard</t>
  </si>
  <si>
    <t xml:space="preserve">Branch: volume within normal range</t>
  </si>
  <si>
    <t xml:space="preserve">high_volume_path</t>
  </si>
  <si>
    <t xml:space="preserve">PythonOperator (scale_workers)</t>
  </si>
  <si>
    <t xml:space="preserve">transform_scaled</t>
  </si>
  <si>
    <t xml:space="preserve">Branch: volume anomaly, requests additional worker capacity</t>
  </si>
  <si>
    <t xml:space="preserve">PythonOperator</t>
  </si>
  <si>
    <t xml:space="preserve">join_after_transform</t>
  </si>
  <si>
    <t xml:space="preserve">Standard-capacity transform</t>
  </si>
  <si>
    <t xml:space="preserve">PythonOperator (dynamic task mapping)</t>
  </si>
  <si>
    <t xml:space="preserve">Scaled-capacity transform for volume anomaly</t>
  </si>
  <si>
    <t xml:space="preserve">transform_standard, transform_scaled</t>
  </si>
  <si>
    <t xml:space="preserve">load_snowflake_log</t>
  </si>
  <si>
    <t xml:space="preserve">Fan-in regardless of path taken</t>
  </si>
  <si>
    <t xml:space="preserve">ai_autorca_duration_check</t>
  </si>
  <si>
    <t xml:space="preserve">Loads Logistics RAW/staging table</t>
  </si>
  <si>
    <t xml:space="preserve">PythonOperator (AutoRCA anomaly hook)</t>
  </si>
  <si>
    <t xml:space="preserve">notify_teams</t>
  </si>
  <si>
    <t xml:space="preserve">all_done</t>
  </si>
  <si>
    <t xml:space="preserve">Compares actual vs expected duration, triggers AutoRCA on breach</t>
  </si>
  <si>
    <t xml:space="preserve">PythonOperator (Teams Adaptive Card)</t>
  </si>
  <si>
    <t xml:space="preserve">Sends run summary/alert card</t>
  </si>
  <si>
    <t xml:space="preserve">load_snowflake_fct</t>
  </si>
  <si>
    <t xml:space="preserve">Loads Forecasting RAW/staging table</t>
  </si>
  <si>
    <t xml:space="preserve">load_snowflake_fin</t>
  </si>
  <si>
    <t xml:space="preserve">Loads Finance RAW/staging table</t>
  </si>
  <si>
    <t xml:space="preserve">load_snowflake_mkt</t>
  </si>
  <si>
    <t xml:space="preserve">Loads Marketing RAW/staging table</t>
  </si>
  <si>
    <t xml:space="preserve">load_snowflake_ret</t>
  </si>
  <si>
    <t xml:space="preserve">Loads Returns RAW/staging table</t>
  </si>
  <si>
    <t xml:space="preserve">load_snowflake_sts</t>
  </si>
  <si>
    <t xml:space="preserve">Loads Store Sales RAW/staging table</t>
  </si>
  <si>
    <t xml:space="preserve">load_snowflake_whs</t>
  </si>
  <si>
    <t xml:space="preserve">Loads Warehouse RAW/staging table</t>
  </si>
  <si>
    <t xml:space="preserve">extract_ecm</t>
  </si>
  <si>
    <t xml:space="preserve">checkpoint_1</t>
  </si>
  <si>
    <t xml:space="preserve">Extract from Ecommerce source</t>
  </si>
  <si>
    <t xml:space="preserve">PythonOperator (state checkpoint)</t>
  </si>
  <si>
    <t xml:space="preserve">heavy_transform_stage1</t>
  </si>
  <si>
    <t xml:space="preserve">Persists intermediate state for restartability</t>
  </si>
  <si>
    <t xml:space="preserve">PythonOperator/SQLOperator (heavy compute)</t>
  </si>
  <si>
    <t xml:space="preserve">checkpoint_2</t>
  </si>
  <si>
    <t xml:space="preserve">Stage 1 of multi-stage transform</t>
  </si>
  <si>
    <t xml:space="preserve">heavy_transform_stage2</t>
  </si>
  <si>
    <t xml:space="preserve">Persists intermediate state</t>
  </si>
  <si>
    <t xml:space="preserve">checkpoint_3</t>
  </si>
  <si>
    <t xml:space="preserve">Stage 2 - historically the failure point for this DAG</t>
  </si>
  <si>
    <t xml:space="preserve">load_target</t>
  </si>
  <si>
    <t xml:space="preserve">Persists final pre-load state</t>
  </si>
  <si>
    <t xml:space="preserve">SnowflakeOperator/MinIO writer</t>
  </si>
  <si>
    <t xml:space="preserve">notify_teams_success</t>
  </si>
  <si>
    <t xml:space="preserve">Loads Ecommerce target table/object</t>
  </si>
  <si>
    <t xml:space="preserve">Success notification</t>
  </si>
  <si>
    <t xml:space="preserve">on_failure_callback_trigger</t>
  </si>
  <si>
    <t xml:space="preserve">PythonOperator (AutoRCA callback)</t>
  </si>
  <si>
    <t xml:space="preserve">heavy_transform_stage1, heavy_transform_stage2, load_target</t>
  </si>
  <si>
    <t xml:space="preserve">notify_teams_failure</t>
  </si>
  <si>
    <t xml:space="preserve">one_failed</t>
  </si>
  <si>
    <t xml:space="preserve">Fires AI AutoRCA multi-agent investigation on any task failure</t>
  </si>
  <si>
    <t xml:space="preserve">PythonOperator (Teams Adaptive Card + RCA summary)</t>
  </si>
  <si>
    <t xml:space="preserve">Failure notification with AutoRCA findings attached</t>
  </si>
  <si>
    <t xml:space="preserve">notify_teams_success, notify_teams_failure</t>
  </si>
  <si>
    <t xml:space="preserve">extract_prd</t>
  </si>
  <si>
    <t xml:space="preserve">Extract from Product Master source</t>
  </si>
  <si>
    <t xml:space="preserve">Loads Product Master target table/object</t>
  </si>
  <si>
    <t xml:space="preserve">extract_inv</t>
  </si>
  <si>
    <t xml:space="preserve">Extract from Inventory source</t>
  </si>
  <si>
    <t xml:space="preserve">Loads Inventory target table/object</t>
  </si>
  <si>
    <t xml:space="preserve">extract_prc</t>
  </si>
  <si>
    <t xml:space="preserve">Extract from Pricing source</t>
  </si>
  <si>
    <t xml:space="preserve">Loads Pricing target table/object</t>
  </si>
  <si>
    <t xml:space="preserve">extract_ord</t>
  </si>
  <si>
    <t xml:space="preserve">Extract from Orders source</t>
  </si>
  <si>
    <t xml:space="preserve">Loads Orders target table/object</t>
  </si>
  <si>
    <t xml:space="preserve">extract_cus</t>
  </si>
  <si>
    <t xml:space="preserve">Extract from Customers source</t>
  </si>
  <si>
    <t xml:space="preserve">Loads Customers target table/object</t>
  </si>
  <si>
    <t xml:space="preserve">extract_prm</t>
  </si>
  <si>
    <t xml:space="preserve">Extract from Promotions source</t>
  </si>
  <si>
    <t xml:space="preserve">Loads Promotions target table/object</t>
  </si>
  <si>
    <t xml:space="preserve">connectivity_precheck</t>
  </si>
  <si>
    <t xml:space="preserve">PythonOperator (handshake/reachability check)</t>
  </si>
  <si>
    <t xml:space="preserve">external_event_sensor</t>
  </si>
  <si>
    <t xml:space="preserve">Validates upstream reachability before entering poke mode</t>
  </si>
  <si>
    <t xml:space="preserve">Sensor (reschedule mode, bounded timeout)</t>
  </si>
  <si>
    <t xml:space="preserve">branch_on_sensor_result</t>
  </si>
  <si>
    <t xml:space="preserve">Waits on external file/event/webhook signal from Suppliers source</t>
  </si>
  <si>
    <t xml:space="preserve">arrived, timed_out</t>
  </si>
  <si>
    <t xml:space="preserve">Evaluates whether sensor resolved or timed out</t>
  </si>
  <si>
    <t xml:space="preserve">arrived</t>
  </si>
  <si>
    <t xml:space="preserve">heavy_transform</t>
  </si>
  <si>
    <t xml:space="preserve">Branch: signal arrived in time</t>
  </si>
  <si>
    <t xml:space="preserve">timed_out</t>
  </si>
  <si>
    <t xml:space="preserve">PythonOperator (fallback trigger)</t>
  </si>
  <si>
    <t xml:space="preserve">fallback_degraded_path</t>
  </si>
  <si>
    <t xml:space="preserve">Branch: sensor exceeded bounded timeout</t>
  </si>
  <si>
    <t xml:space="preserve">PythonOperator (degraded-mode processing)</t>
  </si>
  <si>
    <t xml:space="preserve">notify_stuck_alert</t>
  </si>
  <si>
    <t xml:space="preserve">Processes with prior-period data / partial data as fallback</t>
  </si>
  <si>
    <t xml:space="preserve">PythonOperator/SQLOperator</t>
  </si>
  <si>
    <t xml:space="preserve">Main transform once signal received</t>
  </si>
  <si>
    <t xml:space="preserve">join_final</t>
  </si>
  <si>
    <t xml:space="preserve">Loads Suppliers target</t>
  </si>
  <si>
    <t xml:space="preserve">PythonOperator (Teams + AutoRCA hang-detection hook)</t>
  </si>
  <si>
    <t xml:space="preserve">Alerts on-call and triggers AutoRCA hang analysis</t>
  </si>
  <si>
    <t xml:space="preserve">load_target, notify_stuck_alert</t>
  </si>
  <si>
    <t xml:space="preserve">Fan-in of both paths</t>
  </si>
  <si>
    <t xml:space="preserve">Waits on external file/event/webhook signal from Logistics source</t>
  </si>
  <si>
    <t xml:space="preserve">Loads Logistics target</t>
  </si>
  <si>
    <t xml:space="preserve">Waits on external file/event/webhook signal from Forecasting source</t>
  </si>
  <si>
    <t xml:space="preserve">Loads Forecasting target</t>
  </si>
  <si>
    <t xml:space="preserve">Waits on external file/event/webhook signal from Finance source</t>
  </si>
  <si>
    <t xml:space="preserve">Loads Finance target</t>
  </si>
  <si>
    <t xml:space="preserve">Waits on external file/event/webhook signal from Marketing source</t>
  </si>
  <si>
    <t xml:space="preserve">Loads Marketing target</t>
  </si>
  <si>
    <t xml:space="preserve">Waits on external file/event/webhook signal from Returns source</t>
  </si>
  <si>
    <t xml:space="preserve">Loads Returns target</t>
  </si>
  <si>
    <t xml:space="preserve">Waits on external file/event/webhook signal from Store Sales source</t>
  </si>
  <si>
    <t xml:space="preserve">Loads Store Sales target</t>
  </si>
  <si>
    <t xml:space="preserve">sensor_upstream_a, sensor_upstream_b, sensor_upstream_c</t>
  </si>
  <si>
    <t xml:space="preserve">sensor_upstream_a</t>
  </si>
  <si>
    <t xml:space="preserve">ExternalTaskSensor</t>
  </si>
  <si>
    <t xml:space="preserve">fan_in_join</t>
  </si>
  <si>
    <t xml:space="preserve">Waits on upstream domain A DAG completion</t>
  </si>
  <si>
    <t xml:space="preserve">sensor_upstream_b</t>
  </si>
  <si>
    <t xml:space="preserve">Waits on upstream domain B DAG completion</t>
  </si>
  <si>
    <t xml:space="preserve">sensor_upstream_c</t>
  </si>
  <si>
    <t xml:space="preserve">Waits on upstream domain C DAG completion</t>
  </si>
  <si>
    <t xml:space="preserve">consolidate_whs</t>
  </si>
  <si>
    <t xml:space="preserve">Requires all 3 upstream domains to have completed</t>
  </si>
  <si>
    <t xml:space="preserve">cascade_delay_check</t>
  </si>
  <si>
    <t xml:space="preserve">Consolidates Warehouse data across upstream domains</t>
  </si>
  <si>
    <t xml:space="preserve">on_time, cascaded_delay</t>
  </si>
  <si>
    <t xml:space="preserve">Compares actual start time to expected upstream-completion time</t>
  </si>
  <si>
    <t xml:space="preserve">on_time</t>
  </si>
  <si>
    <t xml:space="preserve">Branch: no material cascade delay detected</t>
  </si>
  <si>
    <t xml:space="preserve">cascaded_delay</t>
  </si>
  <si>
    <t xml:space="preserve">PythonOperator (AutoRCA cascade-RCA hook)</t>
  </si>
  <si>
    <t xml:space="preserve">notify_cascade_alert</t>
  </si>
  <si>
    <t xml:space="preserve">Branch: cascade delay detected, triggers cross-DAG AutoRCA</t>
  </si>
  <si>
    <t xml:space="preserve">Notifies stakeholders of cascade impact with root-cause chain</t>
  </si>
  <si>
    <t xml:space="preserve">on_time, notify_cascade_alert</t>
  </si>
  <si>
    <t xml:space="preserve">Loads Warehouse consolidated target</t>
  </si>
  <si>
    <t xml:space="preserve">Final join</t>
  </si>
  <si>
    <t xml:space="preserve">consolidate_ecm</t>
  </si>
  <si>
    <t xml:space="preserve">Consolidates Ecommerce data across upstream domains</t>
  </si>
  <si>
    <t xml:space="preserve">Loads Ecommerce consolidated target</t>
  </si>
  <si>
    <t xml:space="preserve">consolidate_prd</t>
  </si>
  <si>
    <t xml:space="preserve">Consolidates Product Master data across upstream domains</t>
  </si>
  <si>
    <t xml:space="preserve">Loads Product Master consolidated target</t>
  </si>
  <si>
    <t xml:space="preserve">consolidate_inv</t>
  </si>
  <si>
    <t xml:space="preserve">Consolidates Inventory data across upstream domains</t>
  </si>
  <si>
    <t xml:space="preserve">Loads Inventory consolidated target</t>
  </si>
  <si>
    <t xml:space="preserve">consolidate_prc</t>
  </si>
  <si>
    <t xml:space="preserve">Consolidates Pricing data across upstream domains</t>
  </si>
  <si>
    <t xml:space="preserve">Loads Pricing consolidated target</t>
  </si>
  <si>
    <t xml:space="preserve">consolidate_ord</t>
  </si>
  <si>
    <t xml:space="preserve">Consolidates Orders data across upstream domains</t>
  </si>
  <si>
    <t xml:space="preserve">Loads Orders consolidated target</t>
  </si>
  <si>
    <t xml:space="preserve">consolidate_cus</t>
  </si>
  <si>
    <t xml:space="preserve">Consolidates Customers data across upstream domains</t>
  </si>
  <si>
    <t xml:space="preserve">Loads Customers consolidated target</t>
  </si>
  <si>
    <t xml:space="preserve">get_active_endpoints</t>
  </si>
  <si>
    <t xml:space="preserve">call_external_api</t>
  </si>
  <si>
    <t xml:space="preserve">Fetches the list of Promotions endpoints/accounts/vendors to map over</t>
  </si>
  <si>
    <t xml:space="preserve">PythonOperator.expand (dynamic task mapping, exponential backoff retries)</t>
  </si>
  <si>
    <t xml:space="preserve">aggregate_results</t>
  </si>
  <si>
    <t xml:space="preserve">api_calls_fanout</t>
  </si>
  <si>
    <t xml:space="preserve">One mapped instance per endpoint; retry policy is error-code-aware</t>
  </si>
  <si>
    <t xml:space="preserve">PythonOperator (fan-in)</t>
  </si>
  <si>
    <t xml:space="preserve">error_rate_check</t>
  </si>
  <si>
    <t xml:space="preserve">Aggregates success/failure/retry counts across mapped instances</t>
  </si>
  <si>
    <t xml:space="preserve">normal, retry_storm_detected</t>
  </si>
  <si>
    <t xml:space="preserve">Evaluates aggregate retry/error rate against a storm threshold</t>
  </si>
  <si>
    <t xml:space="preserve">normal</t>
  </si>
  <si>
    <t xml:space="preserve">Branch: retry rate within normal bounds</t>
  </si>
  <si>
    <t xml:space="preserve">retry_storm_detected</t>
  </si>
  <si>
    <t xml:space="preserve">PythonOperator (circuit breaker trip)</t>
  </si>
  <si>
    <t xml:space="preserve">notify_teams_critical</t>
  </si>
  <si>
    <t xml:space="preserve">Branch: retry storm detected, trips circuit breaker for downstream calls</t>
  </si>
  <si>
    <t xml:space="preserve">PythonOperator (Teams Adaptive Card, P1)</t>
  </si>
  <si>
    <t xml:space="preserve">Pages on-call, attaches AutoRCA retry-storm analysis</t>
  </si>
  <si>
    <t xml:space="preserve">Loads Promotions target with successfully retrieved records</t>
  </si>
  <si>
    <t xml:space="preserve">load_target, notify_teams_critical</t>
  </si>
  <si>
    <t xml:space="preserve">Fan-in of both branches</t>
  </si>
  <si>
    <t xml:space="preserve">Fetches the list of Suppliers endpoints/accounts/vendors to map over</t>
  </si>
  <si>
    <t xml:space="preserve">Loads Suppliers target with successfully retrieved records</t>
  </si>
  <si>
    <t xml:space="preserve">Fetches the list of Logistics endpoints/accounts/vendors to map over</t>
  </si>
  <si>
    <t xml:space="preserve">Loads Logistics target with successfully retrieved records</t>
  </si>
  <si>
    <t xml:space="preserve">Fetches the list of Forecasting endpoints/accounts/vendors to map over</t>
  </si>
  <si>
    <t xml:space="preserve">Loads Forecasting target with successfully retrieved records</t>
  </si>
  <si>
    <t xml:space="preserve">Fetches the list of Finance endpoints/accounts/vendors to map over</t>
  </si>
  <si>
    <t xml:space="preserve">Loads Finance target with successfully retrieved records</t>
  </si>
  <si>
    <t xml:space="preserve">Fetches the list of Marketing endpoints/accounts/vendors to map over</t>
  </si>
  <si>
    <t xml:space="preserve">Loads Marketing target with successfully retrieved records</t>
  </si>
  <si>
    <t xml:space="preserve">Fetches the list of Returns endpoints/accounts/vendors to map over</t>
  </si>
  <si>
    <t xml:space="preserve">Loads Returns target with successfully retrieved records</t>
  </si>
  <si>
    <t xml:space="preserve">get_mapping_keys</t>
  </si>
  <si>
    <t xml:space="preserve">process_unit</t>
  </si>
  <si>
    <t xml:space="preserve">Fetches the Store Sales entity list (stores/zones/segments/vendors) to fan out over</t>
  </si>
  <si>
    <t xml:space="preserve">PythonOperator.expand (dynamic task mapping, dedicated pool)</t>
  </si>
  <si>
    <t xml:space="preserve">fanout_pool</t>
  </si>
  <si>
    <t xml:space="preserve">One mapped instance per entity, bound to a dedicated Airflow pool</t>
  </si>
  <si>
    <t xml:space="preserve">pool_saturation_monitor</t>
  </si>
  <si>
    <t xml:space="preserve">PythonOperator (Datadog pool.open_slots check)</t>
  </si>
  <si>
    <t xml:space="preserve">Runs in parallel with process_unit, watches shared pool capacity</t>
  </si>
  <si>
    <t xml:space="preserve">process_unit, pool_saturation_monitor</t>
  </si>
  <si>
    <t xml:space="preserve">Fan-in of all mapped instances plus the monitor</t>
  </si>
  <si>
    <t xml:space="preserve">datadog_queue_depth_check</t>
  </si>
  <si>
    <t xml:space="preserve">PythonOperator (AutoRCA congestion hook)</t>
  </si>
  <si>
    <t xml:space="preserve">Evaluates whether queue congestion impacted this or sibling DAGs</t>
  </si>
  <si>
    <t xml:space="preserve">Run summary notification</t>
  </si>
  <si>
    <t xml:space="preserve">Fetches the Warehouse entity list (stores/zones/segments/vendors) to fan out over</t>
  </si>
  <si>
    <t xml:space="preserve">Loads Warehouse target</t>
  </si>
  <si>
    <t xml:space="preserve">Fetches the Ecommerce entity list (stores/zones/segments/vendors) to fan out over</t>
  </si>
  <si>
    <t xml:space="preserve">Loads Ecommerce target</t>
  </si>
  <si>
    <t xml:space="preserve">Fetches the Product Master entity list (stores/zones/segments/vendors) to fan out over</t>
  </si>
  <si>
    <t xml:space="preserve">Loads Product Master target</t>
  </si>
  <si>
    <t xml:space="preserve">Fetches the Inventory entity list (stores/zones/segments/vendors) to fan out over</t>
  </si>
  <si>
    <t xml:space="preserve">Loads Inventory target</t>
  </si>
  <si>
    <t xml:space="preserve">Fetches the Pricing entity list (stores/zones/segments/vendors) to fan out over</t>
  </si>
  <si>
    <t xml:space="preserve">Loads Pricing target</t>
  </si>
  <si>
    <t xml:space="preserve">Fetches the Orders entity list (stores/zones/segments/vendors) to fan out over</t>
  </si>
  <si>
    <t xml:space="preserve">Loads Orders target</t>
  </si>
  <si>
    <t xml:space="preserve">resource_precheck</t>
  </si>
  <si>
    <t xml:space="preserve">PythonOperator (memory/CPU budget estimate)</t>
  </si>
  <si>
    <t xml:space="preserve">heavy_inmemory_transform</t>
  </si>
  <si>
    <t xml:space="preserve">Estimates peak resource usage from row-count metadata before compute</t>
  </si>
  <si>
    <t xml:space="preserve">PythonOperator (resource requests/limits set)</t>
  </si>
  <si>
    <t xml:space="preserve">memory_check</t>
  </si>
  <si>
    <t xml:space="preserve">Resource-intensive in-memory computation, historically prone to exhaustion</t>
  </si>
  <si>
    <t xml:space="preserve">within_budget, near_exhaustion</t>
  </si>
  <si>
    <t xml:space="preserve">Checks actual peak usage against budget mid-run/post-run</t>
  </si>
  <si>
    <t xml:space="preserve">within_budget</t>
  </si>
  <si>
    <t xml:space="preserve">Branch: resource usage within safe budget</t>
  </si>
  <si>
    <t xml:space="preserve">near_exhaustion</t>
  </si>
  <si>
    <t xml:space="preserve">PythonOperator (chunked fallback)</t>
  </si>
  <si>
    <t xml:space="preserve">chunked_fallback_transform</t>
  </si>
  <si>
    <t xml:space="preserve">Branch: near resource ceiling, reroutes to chunked processing</t>
  </si>
  <si>
    <t xml:space="preserve">PythonOperator.expand (chunked, dynamic task mapping)</t>
  </si>
  <si>
    <t xml:space="preserve">Reprocesses in bounded-memory chunks</t>
  </si>
  <si>
    <t xml:space="preserve">Loads Customers target</t>
  </si>
  <si>
    <t xml:space="preserve">load_target, chunked_fallback_transform</t>
  </si>
  <si>
    <t xml:space="preserve">datadog_resource_check</t>
  </si>
  <si>
    <t xml:space="preserve">PythonOperator (AutoRCA resource-exhaustion hook)</t>
  </si>
  <si>
    <t xml:space="preserve">Logs final resource profile for trend monitoring</t>
  </si>
  <si>
    <t xml:space="preserve">Loads Promotions target</t>
  </si>
  <si>
    <t xml:space="preserve">extract_sup</t>
  </si>
  <si>
    <t xml:space="preserve">Extract from Suppliers source</t>
  </si>
  <si>
    <t xml:space="preserve">extract_log</t>
  </si>
  <si>
    <t xml:space="preserve">Extract from Logistics source</t>
  </si>
  <si>
    <t xml:space="preserve">extract_fct</t>
  </si>
  <si>
    <t xml:space="preserve">Extract from Forecasting source</t>
  </si>
  <si>
    <t xml:space="preserve">extract_fin</t>
  </si>
  <si>
    <t xml:space="preserve">Extract from Finance source</t>
  </si>
  <si>
    <t xml:space="preserve">extract_mkt</t>
  </si>
  <si>
    <t xml:space="preserve">Extract from Marketing source</t>
  </si>
  <si>
    <t xml:space="preserve">Incident Catalogue — 56 Unique Production Failure Scenarios</t>
  </si>
  <si>
    <t xml:space="preserve">Incident ID</t>
  </si>
  <si>
    <t xml:space="preserve">Incident Name</t>
  </si>
  <si>
    <t xml:space="preserve">Severity</t>
  </si>
  <si>
    <t xml:space="preserve">Description</t>
  </si>
  <si>
    <t xml:space="preserve">Symptoms</t>
  </si>
  <si>
    <t xml:space="preserve">Root Cause</t>
  </si>
  <si>
    <t xml:space="preserve">Business Impact</t>
  </si>
  <si>
    <t xml:space="preserve">Resolution</t>
  </si>
  <si>
    <t xml:space="preserve">INC-001</t>
  </si>
  <si>
    <t xml:space="preserve">Sev-2 (High)</t>
  </si>
  <si>
    <t xml:space="preserve">Expected Long Running Job incident on the Product Master pipeline (RTL_PRD_ELRJ): product Master full catalog sync approaching SLA ceiling.</t>
  </si>
  <si>
    <t xml:space="preserve">Task duration trending 92-97% of 4hr SLA for 6 consecutive runs; no failure, but buffer eroding.</t>
  </si>
  <si>
    <t xml:space="preserve">SAP Material Master row count grew 18% QoQ (new SKU onboarding for FW26 line) without a corresponding increase in extraction parallelism.</t>
  </si>
  <si>
    <t xml:space="preserve">No outage yet, but next volume bump will breach SLA, delaying downstream pricing and ecommerce catalog refresh.</t>
  </si>
  <si>
    <t xml:space="preserve">Increase extraction parallelism from 4 to 8 partitions keyed on material group; move to incremental CDC extraction.</t>
  </si>
  <si>
    <t xml:space="preserve">INC-002</t>
  </si>
  <si>
    <t xml:space="preserve">Expected Long Running Job incident on the Inventory pipeline (RTL_INV_ELRJ): inventory full-warehouse reconciliation nearing SLA.</t>
  </si>
  <si>
    <t xml:space="preserve">Bulk reconciliation DAG duration stable but consistently at 88-95% of its 6hr window during peak season.</t>
  </si>
  <si>
    <t xml:space="preserve">Physical inventory counts from 40 new dark stores added to the WMS feed without scaling the reconciliation task's worker slots.</t>
  </si>
  <si>
    <t xml:space="preserve">Delayed inventory availability signal to ecommerce during peak season risk of overselling.</t>
  </si>
  <si>
    <t xml:space="preserve">Split reconciliation by region using dynamic task mapping; scale worker pool during Nov-Jan.</t>
  </si>
  <si>
    <t xml:space="preserve">INC-003</t>
  </si>
  <si>
    <t xml:space="preserve">Sev-1 (Critical)</t>
  </si>
  <si>
    <t xml:space="preserve">Expected Long Running Job incident on the Pricing pipeline (RTL_PRC_ELRJ): pricing nightly full repricing run at SLA edge.</t>
  </si>
  <si>
    <t xml:space="preserve">Full-catalog repricing DAG completing at 3h50m against a 4h SLA repeatedly during promotional weeks.</t>
  </si>
  <si>
    <t xml:space="preserve">Revionics elasticity model scoring step is O(n) per SKU-store combination; promotional weeks increase active SKU-store pairs 3x.</t>
  </si>
  <si>
    <t xml:space="preserve">Late repricing risks stale prices reaching stores/ecommerce at open-of-business.</t>
  </si>
  <si>
    <t xml:space="preserve">Pre-compute elasticity scores in a separate off-peak DAG and cache; repricing DAG only applies deltas.</t>
  </si>
  <si>
    <t xml:space="preserve">INC-004</t>
  </si>
  <si>
    <t xml:space="preserve">Sev-3 (Medium)</t>
  </si>
  <si>
    <t xml:space="preserve">Expected Long Running Job incident on the Orders pipeline (RTL_ORD_ELRJ): orders end-of-day settlement batch at expected long duration.</t>
  </si>
  <si>
    <t xml:space="preserve">Settlement DAG for online + BOPIS orders runs 3h consistently on Black-Friday-adjacent dates by design.</t>
  </si>
  <si>
    <t xml:space="preserve">Order volume is seasonally 5x baseline; DAG was intentionally designed with a wider SLA window for peak dates via metadata calendar override.</t>
  </si>
  <si>
    <t xml:space="preserve">None currently; documented as expected. Risk only if duration exceeds the seasonal override SLA.</t>
  </si>
  <si>
    <t xml:space="preserve">No remediation needed; continue monitoring against the seasonal SLA profile.</t>
  </si>
  <si>
    <t xml:space="preserve">INC-005</t>
  </si>
  <si>
    <t xml:space="preserve">Expected Long Running Job incident on the Customers pipeline (RTL_CUS_ELRJ): customer 360 identity resolution merge running long by design.</t>
  </si>
  <si>
    <t xml:space="preserve">Nightly identity-resolution DAG (CRM + loyalty + ecommerce) consistently takes 5h of its 6h SLA on Mondays.</t>
  </si>
  <si>
    <t xml:space="preserve">Monday runs include weekend batch of loyalty enrollments and guest-checkout merges, roughly 2.4x weekday volume.</t>
  </si>
  <si>
    <t xml:space="preserve">None; weekly pattern is expected and documented in the DAG's SLA metadata.</t>
  </si>
  <si>
    <t xml:space="preserve">N/A - operating within expected parameters.</t>
  </si>
  <si>
    <t xml:space="preserve">INC-006</t>
  </si>
  <si>
    <t xml:space="preserve">Sev-3 (Low)</t>
  </si>
  <si>
    <t xml:space="preserve">Expected Long Running Job incident on the Promotions pipeline (RTL_PRM_ELRJ): promotions Kafka backfill historical load long by design.</t>
  </si>
  <si>
    <t xml:space="preserve">Quarterly promotions historical backfill DAG runs 8-9h consistently, matching its documented long-batch classification.</t>
  </si>
  <si>
    <t xml:space="preserve">Backfill reprocesses a full quarter of promotion events from Kafka compacted topic; volume is inherently large and one-time per quarter.</t>
  </si>
  <si>
    <t xml:space="preserve">None; scheduled during a maintenance window with no downstream dependency until completion.</t>
  </si>
  <si>
    <t xml:space="preserve">N/A - operating as designed.</t>
  </si>
  <si>
    <t xml:space="preserve">INC-007</t>
  </si>
  <si>
    <t xml:space="preserve">Sev-2 (Medium)</t>
  </si>
  <si>
    <t xml:space="preserve">Expected Long Running Job incident on the Suppliers pipeline (RTL_SUP_ELRJ): suppliers EDI 856 ASN full-vendor sync at expected duration.</t>
  </si>
  <si>
    <t xml:space="preserve">Full vendor Advance Ship Notice sync across 1,200 suppliers takes ~5h consistently, matching its SLA design.</t>
  </si>
  <si>
    <t xml:space="preserve">Sequential SFTP polling across 1,200 vendor folders is inherently serial due to vendor-side connection limits (max 3 concurrent per vendor group).</t>
  </si>
  <si>
    <t xml:space="preserve">None currently; duration is stable and within the documented 6h SLA.</t>
  </si>
  <si>
    <t xml:space="preserve">N/A - operating within expected parameters; continue monitoring for vendor count growth.</t>
  </si>
  <si>
    <t xml:space="preserve">INC-008</t>
  </si>
  <si>
    <t xml:space="preserve">Unexpected Long Running Job incident on the Logistics pipeline (RTL_LOG_ULRJ): logistics carrier rate-shopping job duration spike.</t>
  </si>
  <si>
    <t xml:space="preserve">REST API fan-out to 6 carriers for rate shopping jumped from 40min average to 3h10m overnight.</t>
  </si>
  <si>
    <t xml:space="preserve">FedEx API introduced a new pagination scheme (25 results/page instead of 100) without version-header negotiation, quadrupling call count.</t>
  </si>
  <si>
    <t xml:space="preserve">Delayed shipping label generation for ~14,000 orders, pushing carrier pickup cutoffs.</t>
  </si>
  <si>
    <t xml:space="preserve">Pin API version header, batch pagination requests using dynamic task mapping with concurrency cap.</t>
  </si>
  <si>
    <t xml:space="preserve">INC-009</t>
  </si>
  <si>
    <t xml:space="preserve">Sev-1 (High)</t>
  </si>
  <si>
    <t xml:space="preserve">Unexpected Long Running Job incident on the Forecasting pipeline (RTL_FCT_ULRJ): forecasting feature-store extraction unexpectedly long.</t>
  </si>
  <si>
    <t xml:space="preserve">Nightly feature extraction from Vertex AI Feature Store went from 25min to 2h40m.</t>
  </si>
  <si>
    <t xml:space="preserve">A new feature group (weather-correlated demand signals) was added upstream without partitioning, forcing a full-table scan instead of point lookups.</t>
  </si>
  <si>
    <t xml:space="preserve">Delayed demand forecast refresh affecting next-day replenishment recommendations for 3,200 SKUs.</t>
  </si>
  <si>
    <t xml:space="preserve">Add partition key on feature group ingestion_date; switch extraction to point-in-time batch reads.</t>
  </si>
  <si>
    <t xml:space="preserve">INC-010</t>
  </si>
  <si>
    <t xml:space="preserve">Unexpected Long Running Job incident on the Finance pipeline (RTL_FIN_ULRJ): finance GL trial balance close job duration anomaly.</t>
  </si>
  <si>
    <t xml:space="preserve">Monthly close DAG jumped from 1h50m to 5h20m this cycle.</t>
  </si>
  <si>
    <t xml:space="preserve">A new intercompany elimination rule set was deployed in SAP FI/CO mid-month, causing the SQL join in the elimination step to become non-sargable (function wrapped on indexed column).</t>
  </si>
  <si>
    <t xml:space="preserve">Delayed month-end close reporting to Finance leadership by half a business day.</t>
  </si>
  <si>
    <t xml:space="preserve">Rewrite elimination query predicate to keep the indexed column bare; add query plan regression testing to the finance dbt CI pipeline.</t>
  </si>
  <si>
    <t xml:space="preserve">INC-011</t>
  </si>
  <si>
    <t xml:space="preserve">Unexpected Long Running Job incident on the Marketing pipeline (RTL_MKT_ULRJ): marketing multi-channel ad-spend aggregation unexpectedly long.</t>
  </si>
  <si>
    <t xml:space="preserve">Ad spend aggregation across Meta, Google, TikTok Ads APIs went from 35min to 2h15m.</t>
  </si>
  <si>
    <t xml:space="preserve">TikTok Ads API rate limit was silently lowered account-side after a billing tier change, forcing the extractor's built-in backoff to engage on nearly every call.</t>
  </si>
  <si>
    <t xml:space="preserve">Delayed marketing attribution dashboard refresh ahead of a 9am campaign performance review.</t>
  </si>
  <si>
    <t xml:space="preserve">Negotiate/confirm new rate-limit tier with TikTok, add adaptive concurrency throttling keyed to 429 response rate.</t>
  </si>
  <si>
    <t xml:space="preserve">INC-012</t>
  </si>
  <si>
    <t xml:space="preserve">Unexpected Long Running Job incident on the Returns pipeline (RTL_RET_ULRJ): returns RMA disposition batch duration spike.</t>
  </si>
  <si>
    <t xml:space="preserve">Returns disposition scoring batch (Narvar + warehouse grading) went from 50min to 3h.</t>
  </si>
  <si>
    <t xml:space="preserve">A holiday-season returns surge (32% volume increase) combined with an un-vectorized Python scoring loop that processes rows one at a time instead of batched.</t>
  </si>
  <si>
    <t xml:space="preserve">Delayed restock/liquidation decisions, holding ~$1.1M in returned inventory in limbo longer than target.</t>
  </si>
  <si>
    <t xml:space="preserve">Vectorize the disposition scoring logic with pandas/numpy batch operations; add volume-based dynamic worker scaling.</t>
  </si>
  <si>
    <t xml:space="preserve">INC-013</t>
  </si>
  <si>
    <t xml:space="preserve">Unexpected Long Running Job incident on the Store Sales pipeline (RTL_STS_ULRJ): store Sales POS Kafka daily rollup unexpectedly long.</t>
  </si>
  <si>
    <t xml:space="preserve">Daily POS sales rollup from Kafka went from 20min to 1h45m across 450 stores.</t>
  </si>
  <si>
    <t xml:space="preserve">A firmware update pushed to 90 POS terminals began emitting duplicate heartbeat events, inflating the topic partition size the consumer must scan by ~6x.</t>
  </si>
  <si>
    <t xml:space="preserve">Delayed store performance dashboards for regional managers' morning huddles.</t>
  </si>
  <si>
    <t xml:space="preserve">Add dedup filter keyed on transaction_id + terminal_id + timestamp at the Kafka consumer level; roll back or patch firmware.</t>
  </si>
  <si>
    <t xml:space="preserve">INC-014</t>
  </si>
  <si>
    <t xml:space="preserve">Unexpected Long Running Job incident on the Warehouse pipeline (RTL_WHS_ULRJ): ecommerce Shopify order-webhook backfill unexpectedly long.</t>
  </si>
  <si>
    <t xml:space="preserve">Hourly Shopify order sync went from 8min to 55min after a flash-sale event.</t>
  </si>
  <si>
    <t xml:space="preserve">A flash sale drove a 22x order spike within the hour, and the extractor's fixed page size (50) combined with sequential (non-mapped) pagination could not scale.</t>
  </si>
  <si>
    <t xml:space="preserve">Order data lag caused fulfillment prioritization logic to work off stale order data during the highest-value sales hour of the quarter.</t>
  </si>
  <si>
    <t xml:space="preserve">Convert pagination loop to Airflow dynamic task mapping so pages fetch in parallel; raise page size to Shopify's max (250).</t>
  </si>
  <si>
    <t xml:space="preserve">INC-015</t>
  </si>
  <si>
    <t xml:space="preserve">Long Running Job Failure incident on the Ecommerce pipeline (RTL_ECM_LRJF): customer 360 identity merge job fails on deadlock.</t>
  </si>
  <si>
    <t xml:space="preserve">Nightly identity-resolution DAG fails after 4h10m runtime with a Postgres deadlock error on the crosswalk table.</t>
  </si>
  <si>
    <t xml:space="preserve">Two concurrent merge tasks (loyalty_merge and guest_merge) both acquire row-level locks on customer_crosswalk in opposite order, producing a classic deadlock.</t>
  </si>
  <si>
    <t xml:space="preserve">Customer 360 profile unavailable for the morning CRM refresh; support agents work off stale profiles for ~90 minutes.</t>
  </si>
  <si>
    <t xml:space="preserve">Enforce a consistent lock-acquisition order between the two merge tasks, or serialize them with a trigger_rule dependency instead of running in parallel.</t>
  </si>
  <si>
    <t xml:space="preserve">INC-016</t>
  </si>
  <si>
    <t xml:space="preserve">Long Running Job Failure incident on the Product Master pipeline (RTL_PRD_LRJF): pricing Snowflake repricing job fails on warehouse suspension.</t>
  </si>
  <si>
    <t xml:space="preserve">Full repricing DAG fails at the 3h mark when the Snowflake warehouse auto-suspends mid-query due to an idle-timeout misconfiguration on a dependent task.</t>
  </si>
  <si>
    <t xml:space="preserve">A preceding task in the same DAG left the warehouse idle for 12 minutes while waiting on an external sensor, exceeding the 10-minute AUTO_SUSPEND setting, and the resumed session lost its transaction context.</t>
  </si>
  <si>
    <t xml:space="preserve">Repricing did not complete; stores opened with previous day's prices, causing point-of-sale/ecommerce price mismatches.</t>
  </si>
  <si>
    <t xml:space="preserve">Increase AUTO_SUSPEND to 30 minutes for this warehouse, or split the sensor-wait and compute steps into separate warehouses.</t>
  </si>
  <si>
    <t xml:space="preserve">INC-017</t>
  </si>
  <si>
    <t xml:space="preserve">Long Running Job Failure incident on the Inventory pipeline (RTL_INV_LRJF): suppliers EDI ASN ingestion fails on disk full.</t>
  </si>
  <si>
    <t xml:space="preserve">Vendor ASN ingestion DAG fails after 2h50m when the worker's local disk fills up during a large SFTP-to-Parquet conversion step.</t>
  </si>
  <si>
    <t xml:space="preserve">A single vendor (holiday collection supplier) sent an unusually large batch of ASN files (14GB vs typical 400MB) and the conversion task streams to local disk before uploading to MinIO, with no disk-space pre-check.</t>
  </si>
  <si>
    <t xml:space="preserve">Inbound shipment visibility lost for that vendor's holiday collection, delaying receiving dock scheduling.</t>
  </si>
  <si>
    <t xml:space="preserve">Stream SFTP-to-Parquet conversion directly to MinIO instead of local disk; add a pre-flight disk-space check task.</t>
  </si>
  <si>
    <t xml:space="preserve">INC-018</t>
  </si>
  <si>
    <t xml:space="preserve">Long Running Job Failure incident on the Pricing pipeline (RTL_PRC_LRJF): forecasting model-scoring batch fails on OOM.</t>
  </si>
  <si>
    <t xml:space="preserve">Weekly demand-forecast scoring DAG fails at 5h20m with an out-of-memory error during the final ensemble-blend step.</t>
  </si>
  <si>
    <t xml:space="preserve">A newly added SKU cluster (regional exclusives, +18,000 SKUs) was scored in a single in-memory pandas DataFrame without chunking, exceeding the worker's 16GB memory limit.</t>
  </si>
  <si>
    <t xml:space="preserve">Weekly replenishment recommendations unavailable, forcing planners to fall back to manual, less-accurate ordering for the week.</t>
  </si>
  <si>
    <t xml:space="preserve">Chunk the ensemble-blend step by SKU cluster using dynamic task mapping; move to a memory-bounded processing engine (Dask/Spark) for this step.</t>
  </si>
  <si>
    <t xml:space="preserve">INC-019</t>
  </si>
  <si>
    <t xml:space="preserve">Long Running Job Failure incident on the Orders pipeline (RTL_ORD_LRJF): finance intercompany reconciliation fails on referential integrity.</t>
  </si>
  <si>
    <t xml:space="preserve">Month-end intercompany reconciliation DAG fails after 3h15m on a foreign-key violation when loading into the FINANCE.RECON_FACT table.</t>
  </si>
  <si>
    <t xml:space="preserve">A newly onboarded subsidiary's chart-of-accounts mapping was missing from the SUP.GL_MAPPING dimension, so incoming GL entries referenced entity codes with no matching dimension row.</t>
  </si>
  <si>
    <t xml:space="preserve">Month-end close blocked entity-wide until the mapping gap is resolved, risking a 1-day close delay reported to the CFO.</t>
  </si>
  <si>
    <t xml:space="preserve">Add the missing subsidiary mapping rows; add a pre-load referential-integrity check task that fails fast (in minutes, not hours) instead of failing at final load.</t>
  </si>
  <si>
    <t xml:space="preserve">INC-020</t>
  </si>
  <si>
    <t xml:space="preserve">Long Running Job Failure incident on the Customers pipeline (RTL_CUS_LRJF): warehouse slotting-optimization batch fails on secret expiry.</t>
  </si>
  <si>
    <t xml:space="preserve">Nightly warehouse slotting-optimization DAG fails after 4h at the final MinIO upload step with an authentication error.</t>
  </si>
  <si>
    <t xml:space="preserve">The MinIO service-account access key rotated automatically (90-day policy) but the Airflow connection's Secret was not updated in the secrets manager sync job.</t>
  </si>
  <si>
    <t xml:space="preserve">Optimized slotting plan for next-day picking not published; warehouse operates on a 2-day-old plan, reducing picking efficiency.</t>
  </si>
  <si>
    <t xml:space="preserve">Rotate and update the MinIO credential in the Airflow connection; add a credential-expiry pre-check sensor at DAG start rather than failing 4 hours in.</t>
  </si>
  <si>
    <t xml:space="preserve">INC-021</t>
  </si>
  <si>
    <t xml:space="preserve">Long Running Job Failure incident on the Promotions pipeline (RTL_PRM_LRJF): ecommerce catalog sync fails on schema evolution.</t>
  </si>
  <si>
    <t xml:space="preserve">Ecommerce catalog sync to Snowflake fails after 2h30m when a new nested JSON field breaks the Parquet schema on write.</t>
  </si>
  <si>
    <t xml:space="preserve">Shopify added a new 'bundle_components' array field to the product payload; the downstream Parquet writer uses a hard-coded schema instead of schema-on-read/evolution-aware writing.</t>
  </si>
  <si>
    <t xml:space="preserve">New bundle products invisible on the ecommerce site until the schema issue is resolved, affecting a live promotional bundle launch.</t>
  </si>
  <si>
    <t xml:space="preserve">Switch the Parquet writer to schema-evolution-aware mode (merge schema); add the new field to the Snowflake external table DDL.</t>
  </si>
  <si>
    <t xml:space="preserve">INC-022</t>
  </si>
  <si>
    <t xml:space="preserve">Stuck/Hung Job incident on the Suppliers pipeline (RTL_SUP_STUCK): suppliers vendor-portal sensor hangs indefinitely.</t>
  </si>
  <si>
    <t xml:space="preserve">ExternalTaskSensor waiting on the vendor portal's 'file ready' flag has been in poke state for 14+ hours with no timeout configured.</t>
  </si>
  <si>
    <t xml:space="preserve">The vendor's upload automation silently failed with no error surfaced to the portal, and the sensor was configured with mode='poke', timeout=None, so Airflow keeps a worker slot occupied indefinitely.</t>
  </si>
  <si>
    <t xml:space="preserve">Downstream supplier onboarding and PO matching for the day never runs; 40+ purchase orders unmatched, blocking receiving.</t>
  </si>
  <si>
    <t xml:space="preserve">Kill the stuck task instance, manually trigger the vendor to re-upload; add a bounded timeout (e.g., 4h) with soft_fail=True and an escalation notification.</t>
  </si>
  <si>
    <t xml:space="preserve">INC-023</t>
  </si>
  <si>
    <t xml:space="preserve">Stuck/Hung Job incident on the Logistics pipeline (RTL_LOG_STUCK): logistics carrier tracking-webhook listener stuck.</t>
  </si>
  <si>
    <t xml:space="preserve">A task waiting on a carrier webhook callback (deferrable operator) never resumes; the task has been in deferred state for 9 hours.</t>
  </si>
  <si>
    <t xml:space="preserve">The carrier's webhook endpoint changed its callback payload structure, so the trigger's payload-matching condition never evaluates true, and there is no fallback polling path.</t>
  </si>
  <si>
    <t xml:space="preserve">Shipment status updates frozen for all in-transit orders, causing customer-facing tracking pages to show stale 'in transit' status for 9+ hours.</t>
  </si>
  <si>
    <t xml:space="preserve">Add a fallback polling task on a trigger_rule=all_failed branch that activates if the deferred sensor exceeds a threshold; fix payload matching for the new carrier schema.</t>
  </si>
  <si>
    <t xml:space="preserve">INC-024</t>
  </si>
  <si>
    <t xml:space="preserve">Stuck/Hung Job incident on the Forecasting pipeline (RTL_FCT_STUCK): warehouse pallet-manifest ETL hangs on a network call.</t>
  </si>
  <si>
    <t xml:space="preserve">The MinIO-to-Snowflake COPY task for pallet manifests has been running 11 hours against a typical 25-minute duration, with no CPU activity in the container.</t>
  </si>
  <si>
    <t xml:space="preserve">A network ACL change on the MinIO side silently dropped outbound keep-alive packets, leaving the TCP connection in a half-open state that the client library never times out on.</t>
  </si>
  <si>
    <t xml:space="preserve">Warehouse manifest data unavailable, blocking put-away confirmation for two full inbound truck shipments.</t>
  </si>
  <si>
    <t xml:space="preserve">Kill and restart the task with a client-side socket timeout configured; escalate the network ACL issue to infrastructure.</t>
  </si>
  <si>
    <t xml:space="preserve">INC-025</t>
  </si>
  <si>
    <t xml:space="preserve">Stuck/Hung Job incident on the Finance pipeline (RTL_FIN_STUCK): store Sales end-of-day Postgres lock wait hangs.</t>
  </si>
  <si>
    <t xml:space="preserve">The end-of-day sales close task has been in a Postgres lock-wait state for 7 hours against a 20-minute typical runtime.</t>
  </si>
  <si>
    <t xml:space="preserve">An ad-hoc analyst query against the same table was left open in an idle-in-transaction state, holding an ACCESS SHARE lock that blocks the close task's ACCESS EXCLUSIVE lock request.</t>
  </si>
  <si>
    <t xml:space="preserve">Store financial close cannot finalize; finance cannot post daily sales journal entries.</t>
  </si>
  <si>
    <t xml:space="preserve">Terminate the blocking idle-in-transaction session; add statement_timeout and idle_in_transaction_session_timeout at the database role level.</t>
  </si>
  <si>
    <t xml:space="preserve">INC-026</t>
  </si>
  <si>
    <t xml:space="preserve">Stuck/Hung Job incident on the Marketing pipeline (RTL_MKT_STUCK): returns disposition workflow hangs on a stalled ML endpoint.</t>
  </si>
  <si>
    <t xml:space="preserve">The returns-grading task calling an internal ML scoring endpoint has been running 6 hours against a 15-minute baseline.</t>
  </si>
  <si>
    <t xml:space="preserve">The ML endpoint's autoscaler scaled to zero replicas during a low-traffic window and the cold-start health check loop entered a retry cycle with no maximum attempt count.</t>
  </si>
  <si>
    <t xml:space="preserve">Returns cannot be graded for restock/liquidation, holding inventory value in limbo and delaying refund-eligibility decisions for customers.</t>
  </si>
  <si>
    <t xml:space="preserve">Manually cycle the ML endpoint's minReplicas to 1; bound the health-check retry loop with a max-attempts + circuit breaker.</t>
  </si>
  <si>
    <t xml:space="preserve">INC-027</t>
  </si>
  <si>
    <t xml:space="preserve">Stuck/Hung Job incident on the Returns pipeline (RTL_RET_STUCK): finance bank-statement reconciliation sensor hangs.</t>
  </si>
  <si>
    <t xml:space="preserve">A FileSensor waiting for the daily bank statement file on SFTP has been poking for 16 hours past its usual 2-hour arrival window.</t>
  </si>
  <si>
    <t xml:space="preserve">The bank's SFTP server rotated its host key without notice; the sensor's underlying paramiko client silently retries the handshake without ever raising a clear error or respecting the sensor's timeout parameter due to a library-level bug.</t>
  </si>
  <si>
    <t xml:space="preserve">Daily cash-position reconciliation blocked; treasury team operates without a reconciled cash view for the day.</t>
  </si>
  <si>
    <t xml:space="preserve">Manually restart the task after updating the known_hosts entry; upgrade the SFTP hook library and enforce sensor-level timeout at the Airflow scheduler layer, not just the library layer.</t>
  </si>
  <si>
    <t xml:space="preserve">INC-028</t>
  </si>
  <si>
    <t xml:space="preserve">Stuck/Hung Job incident on the Store Sales pipeline (RTL_STS_STUCK): marketing campaign-attribution join hangs on a cartesian product.</t>
  </si>
  <si>
    <t xml:space="preserve">The daily attribution join task has been running 8 hours against a 40-minute baseline, consuming escalating Snowflake credits.</t>
  </si>
  <si>
    <t xml:space="preserve">A join key (campaign_id) became non-unique in the source Ad Platform export after a schema change introduced duplicate rows per campaign per creative variant, turning a 1:1 join into an unbounded fan-out.</t>
  </si>
  <si>
    <t xml:space="preserve">Marketing attribution dashboard unavailable ahead of a scheduled budget-reallocation meeting; Snowflake compute costs for the account spike unexpectedly.</t>
  </si>
  <si>
    <t xml:space="preserve">Kill the query, add a DISTINCT/dedup step on the source extract, add a row-count sanity-check gate before the join executes.</t>
  </si>
  <si>
    <t xml:space="preserve">INC-029</t>
  </si>
  <si>
    <t xml:space="preserve">Cascading Delay incident on the Warehouse pipeline (RTL_WHS_CASC): store Sales delay cascades into Finance daily close.</t>
  </si>
  <si>
    <t xml:space="preserve">Finance daily close DAG, gated by an ExternalTaskSensor on Store Sales rollup, starts 3h45m late and finishes past its own SLA.</t>
  </si>
  <si>
    <t xml:space="preserve">The upstream Store Sales rollup DAG (see LRJ Failure catalogue) ran long due to a Kafka duplicate-event issue, and the downstream Finance DAG's sensor has no independent SLA of its own, only inheriting the delay.</t>
  </si>
  <si>
    <t xml:space="preserve">Daily sales journal entries post late for two consecutive business days, delaying the finance team's variance analysis.</t>
  </si>
  <si>
    <t xml:space="preserve">Trigger Finance close via a dataset-based trigger (data-aware scheduling) with a documented fallback partial-run path instead of a blocking sensor with no independent ceiling.</t>
  </si>
  <si>
    <t xml:space="preserve">INC-030</t>
  </si>
  <si>
    <t xml:space="preserve">Cascading Delay incident on the Ecommerce pipeline (RTL_ECM_CASC): inventory reconciliation delay cascades into Pricing repricing.</t>
  </si>
  <si>
    <t xml:space="preserve">Pricing repricing DAG, dependent on same-day Inventory reconciliation via cross-DAG sensor, is delayed 2h20m.</t>
  </si>
  <si>
    <t xml:space="preserve">Inventory reconciliation (Warehouse domain) ran long due to new dark-store volume, and Pricing's dependency is a hard blocking sensor rather than a partial/dataset-based trigger, so any upstream delay fully propagates.</t>
  </si>
  <si>
    <t xml:space="preserve">Store and ecommerce prices remain un-refreshed into the morning, causing customer-facing price mismatches during the first hours of trading.</t>
  </si>
  <si>
    <t xml:space="preserve">Move to Airflow Datasets so Pricing can begin partial processing on partitions already reconciled, rather than waiting on the full upstream DAG.</t>
  </si>
  <si>
    <t xml:space="preserve">INC-031</t>
  </si>
  <si>
    <t xml:space="preserve">Cascading Delay incident on the Product Master pipeline (RTL_PRD_CASC): suppliers ASN delay cascades into Warehouse receiving schedule.</t>
  </si>
  <si>
    <t xml:space="preserve">Warehouse receiving-schedule DAG, which consumes ASN data via cross-DAG dependency, is delayed 4h.</t>
  </si>
  <si>
    <t xml:space="preserve">Suppliers domain's ASN ingestion (see Stuck/Hung catalogue) hung on a vendor-portal sensor, and Warehouse's receiving-schedule DAG has no timeout-independent fallback, so the block fully cascades.</t>
  </si>
  <si>
    <t xml:space="preserve">Dock scheduling for two inbound trucks delayed, causing driver detention charges and a backlog at the receiving dock.</t>
  </si>
  <si>
    <t xml:space="preserve">Add a fallback receiving-schedule path that runs off yesterday's ASN data with a manual-override flag if today's ASN data hasn't arrived within a defined grace window.</t>
  </si>
  <si>
    <t xml:space="preserve">INC-032</t>
  </si>
  <si>
    <t xml:space="preserve">Cascading Delay incident on the Inventory pipeline (RTL_INV_CASC): product Master sync delay cascades into Ecommerce catalog publish.</t>
  </si>
  <si>
    <t xml:space="preserve">Ecommerce catalog publish DAG, blocked on Product Master's full sync completion, is delayed 2h.</t>
  </si>
  <si>
    <t xml:space="preserve">Product Master's sync neared its SLA ceiling (see Expected LRJ catalogue) and tipped over due to an unplanned new-SKU batch, and Ecommerce's publish DAG has zero tolerance built in - it triggers strictly on upstream DAG success signal.</t>
  </si>
  <si>
    <t xml:space="preserve">New product launches scheduled for 9am go live 2 hours late on the ecommerce site, a directly measurable revenue-timing impact.</t>
  </si>
  <si>
    <t xml:space="preserve">Decouple catalog publish from full Product Master completion by publishing incrementally per completed batch using Airflow Datasets.</t>
  </si>
  <si>
    <t xml:space="preserve">INC-033</t>
  </si>
  <si>
    <t xml:space="preserve">Cascading Delay incident on the Pricing pipeline (RTL_PRC_CASC): customers identity resolution delay cascades into Marketing segmentation.</t>
  </si>
  <si>
    <t xml:space="preserve">Marketing daily audience-segmentation DAG, dependent on Customer 360 identity resolution, starts 90 minutes late and misses its own campaign-trigger window.</t>
  </si>
  <si>
    <t xml:space="preserve">Customer 360's identity merge (see LRJ Failure catalogue) failed and had to be manually rerun, and Marketing's segmentation DAG waits on a fixed cross-DAG sensor with no manual-rerun-aware retry logic.</t>
  </si>
  <si>
    <t xml:space="preserve">A time-sensitive promotional email campaign misses its optimal send window, reducing projected campaign engagement.</t>
  </si>
  <si>
    <t xml:space="preserve">Add a manual-rerun-aware sensor mode that re-evaluates on both scheduled and ad-hoc upstream completions; add a campaign-critical fast-path using cached prior-day segments as fallback.</t>
  </si>
  <si>
    <t xml:space="preserve">INC-034</t>
  </si>
  <si>
    <t xml:space="preserve">Cascading Delay incident on the Orders pipeline (RTL_ORD_CASC): forecasting delay cascades into Purchasing/Replenishment recommendations.</t>
  </si>
  <si>
    <t xml:space="preserve">The Purchasing/Replenishment recommendation DAG, gated on Forecasting's weekly scoring batch, is delayed 5h20m.</t>
  </si>
  <si>
    <t xml:space="preserve">Forecasting's scoring batch failed on OOM (see LRJ Failure catalogue) and required a rerun with reduced batch size, and Purchasing has no intermediate/partial-results consumption path.</t>
  </si>
  <si>
    <t xml:space="preserve">Weekly PO recommendations reach category managers late in the day, compressing the window to place orders before vendor cutoff times.</t>
  </si>
  <si>
    <t xml:space="preserve">Enable Purchasing to consume forecast results incrementally by SKU cluster as they complete, rather than waiting on the full weekly batch.</t>
  </si>
  <si>
    <t xml:space="preserve">INC-035</t>
  </si>
  <si>
    <t xml:space="preserve">Cascading Delay incident on the Customers pipeline (RTL_CUS_CASC): logistics carrier data delay cascades into Returns RMA label generation.</t>
  </si>
  <si>
    <t xml:space="preserve">Returns RMA label-generation DAG, which needs carrier rate/service data from the Logistics domain, is delayed 3h.</t>
  </si>
  <si>
    <t xml:space="preserve">Logistics' carrier rate-shopping DAG hit an unexpectedly long run (see Unexpected LRJ catalogue) due to FedEx API pagination drift, and Returns' label generation has a hard dependency with no cached-rate fallback.</t>
  </si>
  <si>
    <t xml:space="preserve">Customers awaiting return labels experience a delayed email, increasing return-related customer service contact volume.</t>
  </si>
  <si>
    <t xml:space="preserve">Cache the prior successful carrier-rate snapshot and allow Returns to fall back to it (with a staleness flag) if the live dependency exceeds a grace period.</t>
  </si>
  <si>
    <t xml:space="preserve">INC-036</t>
  </si>
  <si>
    <t xml:space="preserve">Retry Storm incident on the Promotions pipeline (RTL_PRM_RETRY): marketing ad-platform API retry storm.</t>
  </si>
  <si>
    <t xml:space="preserve">The Meta Ads API extraction task, dynamically mapped across 45 ad accounts, generated over 900 retries in a single run.</t>
  </si>
  <si>
    <t xml:space="preserve">Meta throttled the account after a credential rotation left the OAuth token in a partially-refreshed state, returning 401s that the retry policy misclassified as transient and retried with fixed (non-exponential) 5-second backoff.</t>
  </si>
  <si>
    <t xml:space="preserve">Marketing spend data delayed by 3 hours; retry volume also triggered a temporary Meta API rate-limit ban affecting other internal tools sharing the same app ID.</t>
  </si>
  <si>
    <t xml:space="preserve">Fix the token-refresh race condition; switch to exponential backoff with jitter and a circuit breaker that stops retrying on 401 (auth) errors after 2 attempts, escalating instead.</t>
  </si>
  <si>
    <t xml:space="preserve">INC-037</t>
  </si>
  <si>
    <t xml:space="preserve">Retry Storm incident on the Suppliers pipeline (RTL_SUP_RETRY): suppliers vendor SFTP retry storm.</t>
  </si>
  <si>
    <t xml:space="preserve">SFTP file-pull tasks across 200 dynamically mapped vendor connections generated a combined 1,400 retries.</t>
  </si>
  <si>
    <t xml:space="preserve">A shared jump-host used for all vendor SFTP connections hit its max-concurrent-session limit (50) once dynamic task mapping concurrency exceeded that, causing connection-refused errors that each mapped task independently retried without global coordination.</t>
  </si>
  <si>
    <t xml:space="preserve">Vendor ASN ingestion delayed 4+ hours; the jump host's connection saturation also degraded an unrelated finance SFTP integration sharing the same infrastructure.</t>
  </si>
  <si>
    <t xml:space="preserve">Cap Airflow's max_active_tis_per_dagrun for the mapped task to stay under the jump-host's session limit; add a shared connection-pool-aware throttle.</t>
  </si>
  <si>
    <t xml:space="preserve">INC-038</t>
  </si>
  <si>
    <t xml:space="preserve">Retry Storm incident on the Logistics pipeline (RTL_LOG_RETRY): orders payment-gateway verification retry storm.</t>
  </si>
  <si>
    <t xml:space="preserve">Order payment-status verification calls, mapped per pending order, generated 2,200 retries in a 45-minute window during a flash sale.</t>
  </si>
  <si>
    <t xml:space="preserve">The payment gateway's API returned intermittent 503s during a traffic spike, and the DAG's retry policy (5 retries, no cap on total system-wide concurrent retries) amplified load on an already-struggling gateway, worsening the outage.</t>
  </si>
  <si>
    <t xml:space="preserve">Order confirmation emails delayed for ~3,000 customers during peak flash-sale traffic, generating a spike in 'where is my order confirmation' support tickets.</t>
  </si>
  <si>
    <t xml:space="preserve">Implement a global retry budget/circuit breaker across all mapped instances of the task (not per-instance), and add a queue-and-drain pattern instead of immediate parallel retry.</t>
  </si>
  <si>
    <t xml:space="preserve">INC-039</t>
  </si>
  <si>
    <t xml:space="preserve">Retry Storm incident on the Forecasting pipeline (RTL_FCT_RETRY): customers CRM sync retry storm.</t>
  </si>
  <si>
    <t xml:space="preserve">Salesforce CRM incremental sync task retried 620 times within its scheduled window.</t>
  </si>
  <si>
    <t xml:space="preserve">A Salesforce API version deprecation silently changed an error response's HTTP status from 400 to 429 for a specific malformed-query condition, and the retry policy treats all 429s as rate-limiting (retry), when in this case it was a genuine query bug needing a fix, not a retry.</t>
  </si>
  <si>
    <t xml:space="preserve">CRM sync never completed, so customer service agents worked from a data snapshot up to 18 hours stale during a product recall communication effort.</t>
  </si>
  <si>
    <t xml:space="preserve">Fix the malformed SOQL query causing the error; add response-body inspection (not just status code) to differentiate genuine rate-limiting from misclassified errors.</t>
  </si>
  <si>
    <t xml:space="preserve">INC-040</t>
  </si>
  <si>
    <t xml:space="preserve">Retry Storm incident on the Finance pipeline (RTL_FIN_RETRY): ecommerce inventory-availability API retry storm.</t>
  </si>
  <si>
    <t xml:space="preserve">The real-time inventory-availability check task (Shopify + internal WMS cross-check), mapped per product page refresh, hit 3,100 retries in an hour.</t>
  </si>
  <si>
    <t xml:space="preserve">A downstream internal WMS availability microservice degraded under unrelated load, and the DAG's retry policy had no maximum concurrent in-flight retries, so retries compounded faster than the struggling service could drain its queue, a self-reinforcing storm.</t>
  </si>
  <si>
    <t xml:space="preserve">Product availability badges on the ecommerce site showed stale/incorrect stock status for over an hour, contributing to both oversell risk and lost sales from false out-of-stock displays.</t>
  </si>
  <si>
    <t xml:space="preserve">Add exponential backoff with a hard concurrency cap on retries; add a health-check gate that pauses the whole mapped task group if the WMS microservice's error rate exceeds a threshold.</t>
  </si>
  <si>
    <t xml:space="preserve">INC-041</t>
  </si>
  <si>
    <t xml:space="preserve">Retry Storm incident on the Marketing pipeline (RTL_MKT_RETRY): store Sales POS heartbeat retry storm.</t>
  </si>
  <si>
    <t xml:space="preserve">POS terminal heartbeat validation task, dynamically mapped per store (450 stores), generated 5,000+ retries after a regional network outage.</t>
  </si>
  <si>
    <t xml:space="preserve">A regional ISP outage affected 60 stores simultaneously, and the DAG's per-store retry logic had no outage-awareness, so it kept retrying unreachable stores at the same aggressive interval as healthy ones, wasting scheduler/worker capacity that could have served healthy-store tasks faster.</t>
  </si>
  <si>
    <t xml:space="preserve">Sales rollup for all 450 stores delayed, not just the 60 affected by the outage, because the retry storm consumed the shared worker pool.</t>
  </si>
  <si>
    <t xml:space="preserve">Add a circuit breaker per store that backs off aggressively (and isolates) after 3 consecutive failures, freeing pool capacity for healthy stores to complete on time.</t>
  </si>
  <si>
    <t xml:space="preserve">INC-042</t>
  </si>
  <si>
    <t xml:space="preserve">Retry Storm incident on the Returns pipeline (RTL_RET_RETRY): finance bank-feed reconciliation retry storm.</t>
  </si>
  <si>
    <t xml:space="preserve">The daily bank-feed API pull, mapped across 12 regional bank accounts, generated 340 retries concentrated on 2 of the 12 accounts.</t>
  </si>
  <si>
    <t xml:space="preserve">Two regional bank accounts' API credentials were mid-rotation by the treasury team without coordinating with the data engineering team, causing consistent 403s that were retried as if transient.</t>
  </si>
  <si>
    <t xml:space="preserve">Cash position reconciliation incomplete for 2 regions, requiring manual bank portal lookups by the treasury team to close the day.</t>
  </si>
  <si>
    <t xml:space="preserve">Coordinate credential rotation via a shared change calendar; add a 403-specific fail-fast path (max 1 retry) distinct from network-transient error handling.</t>
  </si>
  <si>
    <t xml:space="preserve">INC-043</t>
  </si>
  <si>
    <t xml:space="preserve">Queue Congestion incident on the Store Sales pipeline (RTL_STS_QUEUE): orders fulfillment task-mapping saturates the Celery executor pool.</t>
  </si>
  <si>
    <t xml:space="preserve">A dynamically mapped fulfillment-routing task (one mapped instance per pending order, ~8,000 during a sale) queued for 2h before the last instances began executing.</t>
  </si>
  <si>
    <t xml:space="preserve">The DAG's mapped task count exceeded the Celery worker pool's total slot capacity (200) by 40x with no pool assignment, so it competed directly with every other production DAG sharing the default pool.</t>
  </si>
  <si>
    <t xml:space="preserve">Every other DAG sharing the default Celery pool experienced queuing delays, turning a single order-spike event into a platform-wide slowdown affecting 15+ unrelated DAGs.</t>
  </si>
  <si>
    <t xml:space="preserve">Assign this DAG's mapped tasks to a dedicated Airflow pool sized appropriately, and add max_active_tis_per_dag to bound how many mapped instances run concurrently.</t>
  </si>
  <si>
    <t xml:space="preserve">INC-044</t>
  </si>
  <si>
    <t xml:space="preserve">Queue Congestion incident on the Warehouse pipeline (RTL_WHS_QUEUE): marketing campaign-content-generation queue congestion.</t>
  </si>
  <si>
    <t xml:space="preserve">A content-personalization task mapped per audience segment (600 segments) caused queue wait times to reach 90 minutes.</t>
  </si>
  <si>
    <t xml:space="preserve">The task was mistakenly assigned to the same pool as time-critical real-time bidding DAGs, and its high mapped-instance count starved those latency-sensitive DAGs of executor slots during a scheduled 9am campaign launch.</t>
  </si>
  <si>
    <t xml:space="preserve">Real-time bidding campaign adjustments for a live campaign were delayed, resulting in a measurable overspend against the daily budget cap before adjustments took effect.</t>
  </si>
  <si>
    <t xml:space="preserve">Move content-personalization to its own pool, separate from real-time bidding DAGs; add pool-priority weighting so latency-sensitive DAGs preempt batch-style work.</t>
  </si>
  <si>
    <t xml:space="preserve">INC-045</t>
  </si>
  <si>
    <t xml:space="preserve">Queue Congestion incident on the Ecommerce pipeline (RTL_ECM_QUEUE): warehouse pick-wave generation Kubernetes pod queue congestion.</t>
  </si>
  <si>
    <t xml:space="preserve">Dynamically mapped pick-wave generation tasks (one per zone, 35 zones) queued for pod scheduling for over an hour.</t>
  </si>
  <si>
    <t xml:space="preserve">The Kubernetes namespace's resource quota (CPU requests) was sized for the DAG's original 10-zone design and never updated after zone count grew to 35, so the scheduler could only start 10 pods concurrently, queuing the rest.</t>
  </si>
  <si>
    <t xml:space="preserve">Pick-wave release to the warehouse floor delayed by over an hour during peak shift, directly reducing units-picked-per-hour for that shift.</t>
  </si>
  <si>
    <t xml:space="preserve">Increase the namespace's CPU/memory resource quota to match current zone count; add a pre-deployment check that validates quota sufficiency against the DAG's declared max concurrency.</t>
  </si>
  <si>
    <t xml:space="preserve">INC-046</t>
  </si>
  <si>
    <t xml:space="preserve">Queue Congestion incident on the Product Master pipeline (RTL_PRD_QUEUE): suppliers vendor-document OCR queue congestion.</t>
  </si>
  <si>
    <t xml:space="preserve">OCR processing tasks mapped per scanned vendor invoice (up to 1,100/day) queued behind a GPU-limited worker pool for 3+ hours during month-end.</t>
  </si>
  <si>
    <t xml:space="preserve">The GPU-backed OCR worker pool has only 4 slots, sized for typical daily volume of ~300 invoices, but month-end invoice volume spikes to 1,100+ without any elastic scaling of the pool.</t>
  </si>
  <si>
    <t xml:space="preserve">Vendor invoice processing backlog delays accounts-payable 3-way match, risking missed early-payment-discount windows worth an estimated $40K/month if consistently missed.</t>
  </si>
  <si>
    <t xml:space="preserve">Add autoscaling to the GPU worker pool tied to queue depth; batch smaller invoices into a single OCR call where the document format allows it to reduce per-call overhead.</t>
  </si>
  <si>
    <t xml:space="preserve">INC-047</t>
  </si>
  <si>
    <t xml:space="preserve">Queue Congestion incident on the Inventory pipeline (RTL_INV_QUEUE): store Sales nightly rollup DAG-level scheduler congestion.</t>
  </si>
  <si>
    <t xml:space="preserve">450 per-store rollup tasks, generated dynamically, overwhelmed the Airflow scheduler's parsing and scheduling loop itself, not just the executor.</t>
  </si>
  <si>
    <t xml:space="preserve">The scheduler's parsing loop performance degrades non-linearly with very high per-DAG-run task counts when using classic (non-deferred) dynamic task mapping without batching, causing scheduler heartbeat delays across the entire Airflow instance.</t>
  </si>
  <si>
    <t xml:space="preserve">Scheduler-wide latency degraded briefly, causing minor scheduling delays on unrelated DAGs across the platform during the incident window.</t>
  </si>
  <si>
    <t xml:space="preserve">Batch stores into groups of 25 (18 mapped tasks each handling 25 stores) instead of 450 individual mapped tasks, reducing scheduler overhead while retaining parallelism.</t>
  </si>
  <si>
    <t xml:space="preserve">INC-048</t>
  </si>
  <si>
    <t xml:space="preserve">Queue Congestion incident on the Pricing pipeline (RTL_PRC_QUEUE): ecommerce personalization-model batch-scoring queue congestion.</t>
  </si>
  <si>
    <t xml:space="preserve">Batch scoring tasks mapped per customer segment (200 segments) queued behind a shared 'ml-inference' pool already saturated by an unrelated recommendation-engine DAG.</t>
  </si>
  <si>
    <t xml:space="preserve">Two independently-scheduled DAGs (personalization scoring and recommendation-engine refresh) were both assigned to the same 'ml-inference' pool without coordination, and their overlapping schedules regularly exceed the pool's combined capacity needs.</t>
  </si>
  <si>
    <t xml:space="preserve">Homepage personalization content stales for up to 2 hours during the overlap window, reducing click-through on personalized modules during that period.</t>
  </si>
  <si>
    <t xml:space="preserve">Stagger the two DAGs' schedules to avoid overlap, or split them into separate pools sized independently for each workload's actual needs.</t>
  </si>
  <si>
    <t xml:space="preserve">INC-049</t>
  </si>
  <si>
    <t xml:space="preserve">Queue Congestion incident on the Orders pipeline (RTL_ORD_QUEUE): returns image-inspection queue congestion.</t>
  </si>
  <si>
    <t xml:space="preserve">Image-based return-condition inspection tasks, mapped per returned item photo (up to 3,000/day during holiday returns peak), queued for hours behind a fixed-size inference pool.</t>
  </si>
  <si>
    <t xml:space="preserve">The inference pool was provisioned for average daily volume (~500 items) with no seasonal scaling plan, and holiday-return volume is roughly 6x average, overwhelming fixed capacity.</t>
  </si>
  <si>
    <t xml:space="preserve">Returns processing backlog grows daily through the holiday return season, delaying refunds to customers beyond the company's published 5-business-day refund SLA, risking customer satisfaction and regulatory scrutiny in some regions.</t>
  </si>
  <si>
    <t xml:space="preserve">Add elastic autoscaling for the inference pool tied to queue depth, with a pre-approved higher ceiling during the declared holiday-return season window.</t>
  </si>
  <si>
    <t xml:space="preserve">INC-050</t>
  </si>
  <si>
    <t xml:space="preserve">Resource Exhaustion incident on the Customers pipeline (RTL_CUS_RES): forecasting in-memory ensemble blend exhausts worker memory.</t>
  </si>
  <si>
    <t xml:space="preserve">The weekly forecast ensemble-blend task, running as a single large pandas operation, consistently pegs worker memory at 95-100% and occasionally gets OOM-killed.</t>
  </si>
  <si>
    <t xml:space="preserve">The task loads all SKU-cluster forecasts into a single in-memory DataFrame (regional exclusives expansion pushed this to ~19GB) on a worker sized for 16GB, with no chunking strategy.</t>
  </si>
  <si>
    <t xml:space="preserve">When OOM-killed, the entire weekly forecast cycle must restart from the blend step, costing 2+ hours of reprocessing and risking missing the replenishment planning deadline.</t>
  </si>
  <si>
    <t xml:space="preserve">Chunk the blend operation by SKU cluster with dynamic task mapping, each chunk sized to fit comfortably in worker memory; alternatively move to Dask for out-of-core processing.</t>
  </si>
  <si>
    <t xml:space="preserve">INC-051</t>
  </si>
  <si>
    <t xml:space="preserve">Resource Exhaustion incident on the Promotions pipeline (RTL_PRM_RES): finance GL close CPU saturation on a co-located worker.</t>
  </si>
  <si>
    <t xml:space="preserve">The month-end GL elimination and consolidation tasks saturate their worker's CPU to 100% for the full 3-hour close window, delaying two co-scheduled unrelated DAGs on the same node.</t>
  </si>
  <si>
    <t xml:space="preserve">Kubernetes node affinity rules were not configured, so this CPU-intensive, non-parallelized SQL-heavy task and two other CPU-bound DAGs were scheduled onto the same node by chance, and none of the three declared CPU resource requests/limits.</t>
  </si>
  <si>
    <t xml:space="preserve">Two unrelated DAGs (Marketing reporting, Store Sales rollup) experienced execution slowdowns purely from CPU contention with the Finance close job, an entirely avoidable cross-domain impact.</t>
  </si>
  <si>
    <t xml:space="preserve">Set explicit CPU requests/limits on all three DAGs' pod templates; add anti-affinity rules keeping known CPU-heavy DAGs off the same node during overlapping windows.</t>
  </si>
  <si>
    <t xml:space="preserve">INC-052</t>
  </si>
  <si>
    <t xml:space="preserve">Resource Exhaustion incident on the Suppliers pipeline (RTL_SUP_RES): warehouse slotting-optimization solver exhausts memory.</t>
  </si>
  <si>
    <t xml:space="preserve">The nightly warehouse slotting-optimization solver (a mixed-integer optimization model) exhausts available memory on 2-3 nights per month, correlating with higher SKU-location combination counts.</t>
  </si>
  <si>
    <t xml:space="preserve">The solver builds its full constraint matrix in memory for all SKU-location pairs at once; growth in warehouse footprint (new mezzanine level added) pushed the combination count past the point the current memory allocation can hold.</t>
  </si>
  <si>
    <t xml:space="preserve">On exhaustion, next-day picking uses a stale slotting plan, measurably reducing picker travel-time efficiency for that shift (estimated 8-12% productivity loss).</t>
  </si>
  <si>
    <t xml:space="preserve">Decompose the solver problem by warehouse zone, solving sub-problems in sequence or parallel with bounded memory each, then reconcile boundary constraints in a lightweight final pass.</t>
  </si>
  <si>
    <t xml:space="preserve">INC-053</t>
  </si>
  <si>
    <t xml:space="preserve">Resource Exhaustion incident on the Logistics pipeline (RTL_LOG_RES): suppliers vendor-document OCR GPU exhaustion.</t>
  </si>
  <si>
    <t xml:space="preserve">GPU memory on the OCR inference worker is regularly exhausted during month-end invoice processing spikes, causing task failures partway through a batch.</t>
  </si>
  <si>
    <t xml:space="preserve">The OCR model was originally sized/tested against typical invoice image resolutions (150 DPI), but several new vendors submit scans at 600 DPI, roughly quadrupling per-image GPU memory footprint without any corresponding batch-size adjustment.</t>
  </si>
  <si>
    <t xml:space="preserve">Partial OCR batches fail and must be reprocessed, adding processing delay during the already-constrained month-end AP close window.</t>
  </si>
  <si>
    <t xml:space="preserve">Add a pre-processing step that downsamples images above a DPI threshold before OCR inference; dynamically adjust batch size based on detected image resolution.</t>
  </si>
  <si>
    <t xml:space="preserve">INC-054</t>
  </si>
  <si>
    <t xml:space="preserve">Resource Exhaustion incident on the Forecasting pipeline (RTL_FCT_RES): ecommerce real-time personalization cache exhausts Redis memory.</t>
  </si>
  <si>
    <t xml:space="preserve">The personalization-cache refresh task periodically fills the shared Redis instance to its maxmemory limit, triggering eviction of unrelated session-cache keys used by the live checkout flow.</t>
  </si>
  <si>
    <t xml:space="preserve">The personalization DAG was never given its own Redis instance/namespace with a bounded key-eviction policy, so as the customer-segment cache grew (a new micro-segmentation feature added 40x more cache keys), it competed for memory with checkout session data on the same Redis cluster.</t>
  </si>
  <si>
    <t xml:space="preserve">Checkout sessions were occasionally evicted from cache mid-session during the memory-pressure window, causing a small number of customers to be logged out or lose cart state during checkout, a direct, measurable revenue-risk event.</t>
  </si>
  <si>
    <t xml:space="preserve">Move personalization cache to a dedicated Redis instance with its own maxmemory and eviction policy, isolated from checkout-critical session data.</t>
  </si>
  <si>
    <t xml:space="preserve">INC-055</t>
  </si>
  <si>
    <t xml:space="preserve">Resource Exhaustion incident on the Finance pipeline (RTL_FIN_RES): promotions rules-engine evaluation exhausts CPU on shared node.</t>
  </si>
  <si>
    <t xml:space="preserve">The real-time-adjacent promotions rules-evaluation task, which re-evaluates all active promotion rules against the full active-cart dataset every 15 minutes, regularly saturates its node's CPU during high-traffic promotional events.</t>
  </si>
  <si>
    <t xml:space="preserve">The rules engine evaluates all rules against all carts in a nested-loop pattern (O(rules x carts)) rather than an indexed/rule-triggered evaluation approach, and a major promotional event tripled both active cart count and active rule count simultaneously.</t>
  </si>
  <si>
    <t xml:space="preserve">Promotion evaluation lag during a live flash-sale event caused some qualifying carts to not receive their discount before checkout completed, generating post-hoc customer service escalations and manual discount honoring.</t>
  </si>
  <si>
    <t xml:space="preserve">Refactor the rules engine to an indexed/triggered evaluation model (evaluate only rules relevant to a cart's contents) instead of full nested-loop evaluation; add horizontal scaling for this task during declared promotional events.</t>
  </si>
  <si>
    <t xml:space="preserve">INC-056</t>
  </si>
  <si>
    <t xml:space="preserve">Resource Exhaustion incident on the Marketing pipeline (RTL_MKT_RES): logistics route-optimization solver exhausts memory during peak shipping.</t>
  </si>
  <si>
    <t xml:space="preserve">The daily route-optimization solver for last-mile delivery exhausts memory during peak shipping weeks (roughly 4 weeks/year), a recurring but previously unaddressed pattern.</t>
  </si>
  <si>
    <t xml:space="preserve">The solver's in-memory distance-matrix representation grows quadratically with stop count, and peak-week stop counts (holiday shipping) are roughly 2.5x average, pushing the quadratic memory requirement well past the node's capacity.</t>
  </si>
  <si>
    <t xml:space="preserve">When the solver fails, routes default to a simpler nearest-neighbor heuristic that produces measurably less efficient routes, increasing last-mile delivery cost and slightly increasing average delivery time during the year's most delivery-sensitive weeks.</t>
  </si>
  <si>
    <t xml:space="preserve">Switch to a sparse distance-matrix representation (only nearby stops, not full pairwise) for high-stop-count runs; pre-provision higher-memory nodes for the known 4 peak weeks per year.</t>
  </si>
  <si>
    <t xml:space="preserve">Expected AI RCA — AutoRCA Evaluation Ground Truth</t>
  </si>
  <si>
    <t xml:space="preserve">Expected RCA Summary</t>
  </si>
  <si>
    <t xml:space="preserve">Evidence Required</t>
  </si>
  <si>
    <t xml:space="preserve">Airflow Logs</t>
  </si>
  <si>
    <t xml:space="preserve">Datadog Metrics</t>
  </si>
  <si>
    <t xml:space="preserve">Confidence Score</t>
  </si>
  <si>
    <t xml:space="preserve">Preventive Action</t>
  </si>
  <si>
    <t xml:space="preserve">AI AutoRCA should identify: SAP Material Master row count grew 18% QoQ (new SKU onboarding for FW26 line) without a corresponding increase in extraction parallelism.</t>
  </si>
  <si>
    <t xml:space="preserve">Airflow task logs, Datadog infrastructure/application metrics, JIRA/Confluence RAG context for known-issue matching</t>
  </si>
  <si>
    <t xml:space="preserve">Task logs show steady per-batch throughput decline correlated to row count, not error stack traces</t>
  </si>
  <si>
    <t xml:space="preserve">airflow.dag.duration trending upward across dagrun_history, no anomaly spike (gradual)</t>
  </si>
  <si>
    <t xml:space="preserve">Add a Datadog monitor on duration-vs-SLA ratio with a 85% early warning threshold, alert AI AutoRCA proactively before breach.</t>
  </si>
  <si>
    <t xml:space="preserve">AI AutoRCA should identify: Physical inventory counts from 40 new dark stores added to the WMS feed without scaling the reconciliation task's worker slots.</t>
  </si>
  <si>
    <t xml:space="preserve">Airflow Gantt view shows reconcile_regions task consistently the long pole</t>
  </si>
  <si>
    <t xml:space="preserve">datadog.airflow.task.duration seasonal trend dashboard flagged amber</t>
  </si>
  <si>
    <t xml:space="preserve">Auto-scale worker pool via KEDA based on upstream row count metadata field before DAG starts.</t>
  </si>
  <si>
    <t xml:space="preserve">AI AutoRCA should identify: Revionics elasticity model scoring step is O(n) per SKU-store combination; promotional weeks increase active SKU-store pairs 3x.</t>
  </si>
  <si>
    <t xml:space="preserve">Airflow SLA-miss near-miss log entries (no formal miss, but sla_near_miss custom callback fired)</t>
  </si>
  <si>
    <t xml:space="preserve">Datadog custom metric pricing.sku_store_pairs correlated with duration</t>
  </si>
  <si>
    <t xml:space="preserve">Add capacity-planning metadata tag flagging promo-calendar weeks so orchestrator pre-allocates extra workers.</t>
  </si>
  <si>
    <t xml:space="preserve">AI AutoRCA should identify: Order volume is seasonally 5x baseline; DAG was intentionally designed with a wider SLA window for peak dates via metadata calendar override.</t>
  </si>
  <si>
    <t xml:space="preserve">Airflow task logs, Datadog infrastructure/application metrics</t>
  </si>
  <si>
    <t xml:space="preserve">Airflow DAG run marked success within calendar-adjusted SLA</t>
  </si>
  <si>
    <t xml:space="preserve">Datadog dashboard shows duration within seasonal band, not flagged as anomaly</t>
  </si>
  <si>
    <t xml:space="preserve">Ensure metadata-driven SLA calendar is reviewed each peak season and validated against actuals.</t>
  </si>
  <si>
    <t xml:space="preserve">AI AutoRCA should identify: Monday runs include weekend batch of loyalty enrollments and guest-checkout merges, roughly 2.4x weekday volume.</t>
  </si>
  <si>
    <t xml:space="preserve">Airflow SLA metadata shows dow_override applied correctly</t>
  </si>
  <si>
    <t xml:space="preserve">Datadog day-of-week seasonality overlay confirms Monday pattern is stable</t>
  </si>
  <si>
    <t xml:space="preserve">Keep the day-of-week SLA profile in the metadata model current; alert only on deviation from the weekly baseline, not absolute duration.</t>
  </si>
  <si>
    <t xml:space="preserve">AI AutoRCA should identify: Backfill reprocesses a full quarter of promotion events from Kafka compacted topic; volume is inherently large and one-time per quarter.</t>
  </si>
  <si>
    <t xml:space="preserve">Airflow DAG tagged is_expected_long_running=true in metadata, suppressing SLA-miss alerts appropriately</t>
  </si>
  <si>
    <t xml:space="preserve">Datadog shows duration within historical band for backfill-tagged DAGs</t>
  </si>
  <si>
    <t xml:space="preserve">Continue publishing expected-duration baselines to the metadata model so AutoRCA does not false-positive this DAG as anomalous.</t>
  </si>
  <si>
    <t xml:space="preserve">AI AutoRCA should identify: Sequential SFTP polling across 1,200 vendor folders is inherently serial due to vendor-side connection limits (max 3 concurrent per vendor group).</t>
  </si>
  <si>
    <t xml:space="preserve">Airflow task duration histogram per vendor batch shows uniform, non-anomalous distribution</t>
  </si>
  <si>
    <t xml:space="preserve">Datadog vendor_count metric flat, duration flat - confirms linear expected relationship</t>
  </si>
  <si>
    <t xml:space="preserve">Track vendor-count-vs-duration ratio in the metadata model; trigger a re-architecture review if vendor count grows past 1,500.</t>
  </si>
  <si>
    <t xml:space="preserve">AI AutoRCA should identify: FedEx API introduced a new pagination scheme (25 results/page instead of 100) without version-header negotiation, quadrupling call count.</t>
  </si>
  <si>
    <t xml:space="preserve">Airflow task duration histogram shows step-change, not gradual drift; task retries=0 (calls succeeded, just more of them)</t>
  </si>
  <si>
    <t xml:space="preserve">Datadog API call count for logistics_rate_shop task 4x baseline, latency per call normal</t>
  </si>
  <si>
    <t xml:space="preserve">Add a Datadog anomaly-detection monitor on external API call-count-per-DAG-run to catch pagination/schema drift early.</t>
  </si>
  <si>
    <t xml:space="preserve">AI AutoRCA should identify: A new feature group (weather-correlated demand signals) was added upstream without partitioning, forcing a full-table scan instead of point lookups.</t>
  </si>
  <si>
    <t xml:space="preserve">Airflow logs show extract_features task scanning 40x more rows than prior run (row_count metadata delta)</t>
  </si>
  <si>
    <t xml:space="preserve">Datadog Vertex AI query latency metric spiked from 200ms to 4.2s per call</t>
  </si>
  <si>
    <t xml:space="preserve">Require new feature groups to pass a partitioning-review gate in the metadata model before onboarding to production DAGs.</t>
  </si>
  <si>
    <t xml:space="preserve">AI AutoRCA should identify: A new intercompany elimination rule set was deployed in SAP FI/CO mid-month, causing the SQL join in the elimination step to become non-sargable (function wrapped on indexed column).</t>
  </si>
  <si>
    <t xml:space="preserve">Airflow task logs show elimination_step duration 3x prior runs; no error, pure slowdown</t>
  </si>
  <si>
    <t xml:space="preserve">Datadog Snowflake query profile shows full table scan on GL_ELIMINATION, previously index seek</t>
  </si>
  <si>
    <t xml:space="preserve">Add automated query-plan regression testing to the finance dbt CI pipeline so non-sargable predicates are caught before deployment.</t>
  </si>
  <si>
    <t xml:space="preserve">AI AutoRCA should identify: TikTok Ads API rate limit was silently lowered account-side after a billing tier change, forcing the extractor's built-in backoff to engage on nearly every call.</t>
  </si>
  <si>
    <t xml:space="preserve">Airflow task retries jumped from 2 to 38 within a single task instance</t>
  </si>
  <si>
    <t xml:space="preserve">Datadog external_api.rate_limited_responses spiked for tiktok_ads_extract task</t>
  </si>
  <si>
    <t xml:space="preserve">Add a Datadog monitor on 429-response-rate per vendor API and route it into AutoRCA's vendor-health context.</t>
  </si>
  <si>
    <t xml:space="preserve">AI AutoRCA should identify: A holiday-season returns surge (32% volume increase) combined with an un-vectorized Python scoring loop that processes rows one at a time instead of batched.</t>
  </si>
  <si>
    <t xml:space="preserve">Airflow task CPU utilization pegged at 100% on a single core (non-parallelized loop signature)</t>
  </si>
  <si>
    <t xml:space="preserve">Datadog custom metric returns.rows_scored_per_min dropped from 1400 to 210</t>
  </si>
  <si>
    <t xml:space="preserve">Add row-count-vs-duration regression monitor in Datadog so linear-but-unscaled code paths are caught before they become incidents.</t>
  </si>
  <si>
    <t xml:space="preserve">AI AutoRCA should identify: A firmware update pushed to 90 POS terminals began emitting duplicate heartbeat events, inflating the topic partition size the consumer must scan by ~6x.</t>
  </si>
  <si>
    <t xml:space="preserve">Airflow task logs show 6x expected message count for known store count</t>
  </si>
  <si>
    <t xml:space="preserve">Datadog Kafka consumer lag and records-consumed both spiked together (unusual - normally lag alone spikes)</t>
  </si>
  <si>
    <t xml:space="preserve">Add a Datadog monitor on kafka.consumer.records_consumed vs expected_transaction_count ratio to flag duplicate-emission drift.</t>
  </si>
  <si>
    <t xml:space="preserve">AI AutoRCA should identify: A flash sale drove a 22x order spike within the hour, and the extractor's fixed page size (50) combined with sequential (non-mapped) pagination could not scale.</t>
  </si>
  <si>
    <t xml:space="preserve">Airflow Gantt shows single-threaded task occupying full hour with no fan-out</t>
  </si>
  <si>
    <t xml:space="preserve">Datadog orders.api.pages_fetched metric shows 22x normal page count, sequential (non-parallel) call pattern</t>
  </si>
  <si>
    <t xml:space="preserve">Add a pre-emptive scaling trigger tied to the marketing promotions calendar so DAG concurrency increases ahead of known flash-sale windows.</t>
  </si>
  <si>
    <t xml:space="preserve">AI AutoRCA should identify: Two concurrent merge tasks (loyalty_merge and guest_merge) both acquire row-level locks on customer_crosswalk in opposite order, producing a classic deadlock.</t>
  </si>
  <si>
    <t xml:space="preserve">Airflow task log shows Postgres error 40P01 (deadlock detected), task marked failed after 4h10m</t>
  </si>
  <si>
    <t xml:space="preserve">Datadog Postgres deadlocks_detected metric spiked to 1 at time of failure</t>
  </si>
  <si>
    <t xml:space="preserve">Add a dbt/SQL pre-commit check that flags multi-table UPDATE statements lacking a documented lock-order convention.</t>
  </si>
  <si>
    <t xml:space="preserve">AI AutoRCA should identify: A preceding task in the same DAG left the warehouse idle for 12 minutes while waiting on an external sensor, exceeding the 10-minute AUTO_SUSPEND setting, and the resumed session lost its transaction context.</t>
  </si>
  <si>
    <t xml:space="preserve">Airflow task fails with 'Warehouse X was suspended' Snowflake connector error</t>
  </si>
  <si>
    <t xml:space="preserve">Datadog snowflake.warehouse.suspended event logged mid-DAG-run</t>
  </si>
  <si>
    <t xml:space="preserve">Add a Datadog monitor on Snowflake warehouse suspend/resume events correlated to active DAG runs.</t>
  </si>
  <si>
    <t xml:space="preserve">AI AutoRCA should identify: A single vendor (holiday collection supplier) sent an unusually large batch of ASN files (14GB vs typical 400MB) and the conversion task streams to local disk before uploading to MinIO, with no disk-space pre-check.</t>
  </si>
  <si>
    <t xml:space="preserve">Airflow task fails with OSError: No space left on device</t>
  </si>
  <si>
    <t xml:space="preserve">Datadog host.disk.free on the worker node dropped to 0 during the run</t>
  </si>
  <si>
    <t xml:space="preserve">Add file-size-based routing in the metadata model so unusually large vendor batches trigger a distributed (Spark) conversion path instead of local pandas.</t>
  </si>
  <si>
    <t xml:space="preserve">AI AutoRCA should identify: A newly added SKU cluster (regional exclusives, +18,000 SKUs) was scored in a single in-memory pandas DataFrame without chunking, exceeding the worker's 16GB memory limit.</t>
  </si>
  <si>
    <t xml:space="preserve">Airflow task marked failed, Kubernetes pod event shows OOMKilled reason</t>
  </si>
  <si>
    <t xml:space="preserve">Datadog container.memory.usage climbed linearly then OOM-killed at 15.8GB/16GB limit</t>
  </si>
  <si>
    <t xml:space="preserve">Add a memory-usage forecast check in the metadata model that estimates peak RAM from expected row count before scheduling.</t>
  </si>
  <si>
    <t xml:space="preserve">AI AutoRCA should identify: A newly onboarded subsidiary's chart-of-accounts mapping was missing from the SUP.GL_MAPPING dimension, so incoming GL entries referenced entity codes with no matching dimension row.</t>
  </si>
  <si>
    <t xml:space="preserve">Airflow task fails with Snowflake constraint violation error on RECON_FACT foreign key</t>
  </si>
  <si>
    <t xml:space="preserve">Datadog data-quality check custom metric orphaned_fk_rows &gt; 0 at load step</t>
  </si>
  <si>
    <t xml:space="preserve">Require new-entity onboarding checklist to include a GL mapping completeness gate before the entity's first close cycle runs through this DAG.</t>
  </si>
  <si>
    <t xml:space="preserve">AI AutoRCA should identify: The MinIO service-account access key rotated automatically (90-day policy) but the Airflow connection's Secret was not updated in the secrets manager sync job.</t>
  </si>
  <si>
    <t xml:space="preserve">Airflow task fails with S3 SignatureDoesNotMatch / 403 Forbidden error</t>
  </si>
  <si>
    <t xml:space="preserve">Datadog secretsmanager.rotation event logged 6h before the failure with no corresponding Airflow connection update</t>
  </si>
  <si>
    <t xml:space="preserve">Automate secret rotation propagation from the secrets manager to Airflow connections via a scheduled sync DAG with alerting on drift.</t>
  </si>
  <si>
    <t xml:space="preserve">AI AutoRCA should identify: Shopify added a new 'bundle_components' array field to the product payload; the downstream Parquet writer uses a hard-coded schema instead of schema-on-read/evolution-aware writing.</t>
  </si>
  <si>
    <t xml:space="preserve">Airflow task fails with pyarrow.lib.ArrowInvalid schema mismatch error</t>
  </si>
  <si>
    <t xml:space="preserve">Datadog data-quality schema_drift_detected custom metric fires</t>
  </si>
  <si>
    <t xml:space="preserve">Add automated schema-diff detection on the source API contract as a pre-ingestion task, routing any diff to a review queue before the load task runs.</t>
  </si>
  <si>
    <t xml:space="preserve">AI AutoRCA should identify: The vendor's upload automation silently failed with no error surfaced to the portal, and the sensor was configured with mode='poke', timeout=None, so Airflow keeps a worker slot occupied indefinitely.</t>
  </si>
  <si>
    <t xml:space="preserve">Airflow task state remains 'running'/'up_for_reschedule' far past historical p99 duration</t>
  </si>
  <si>
    <t xml:space="preserve">Datadog airflow.task.duration for the sensor task shows an unbounded upward line with no ceiling</t>
  </si>
  <si>
    <t xml:space="preserve">Standardize all external sensors in the metadata model to require a mandatory timeout field; reject DAG registration without one.</t>
  </si>
  <si>
    <t xml:space="preserve">AI AutoRCA should identify: The carrier's webhook endpoint changed its callback payload structure, so the trigger's payload-matching condition never evaluates true, and there is no fallback polling path.</t>
  </si>
  <si>
    <t xml:space="preserve">Airflow trigger log shows the Trigger process alive but never firing the resume event</t>
  </si>
  <si>
    <t xml:space="preserve">Datadog webhook.callbacks_received metric flat-lined to zero while task remained deferred</t>
  </si>
  <si>
    <t xml:space="preserve">Require all deferrable/webhook-based operators to pair with a polling fallback branch in the architecture template.</t>
  </si>
  <si>
    <t xml:space="preserve">AI AutoRCA should identify: A network ACL change on the MinIO side silently dropped outbound keep-alive packets, leaving the TCP connection in a half-open state that the client library never times out on.</t>
  </si>
  <si>
    <t xml:space="preserve">Airflow task has zero log output for 10+ hours despite running state</t>
  </si>
  <si>
    <t xml:space="preserve">Datadog container.cpu.usage near-zero while task shows 'running' - classic hang signature</t>
  </si>
  <si>
    <t xml:space="preserve">Add a client-side connect/read timeout to every network-bound operator as a mandatory metadata field, with a default of 10 minutes.</t>
  </si>
  <si>
    <t xml:space="preserve">AI AutoRCA should identify: An ad-hoc analyst query against the same table was left open in an idle-in-transaction state, holding an ACCESS SHARE lock that blocks the close task's ACCESS EXCLUSIVE lock request.</t>
  </si>
  <si>
    <t xml:space="preserve">Airflow task log shows no progress; pg_stat_activity (pulled by AutoRCA cpu_agent) shows lock wait_event</t>
  </si>
  <si>
    <t xml:space="preserve">Datadog postgres.locks.waiting metric elevated and static (not resolving) for 7 hours</t>
  </si>
  <si>
    <t xml:space="preserve">Add a Datadog monitor on pg_locks wait chains exceeding 15 minutes, wired into AutoRCA to auto-identify and flag the blocking session.</t>
  </si>
  <si>
    <t xml:space="preserve">AI AutoRCA should identify: The ML endpoint's autoscaler scaled to zero replicas during a low-traffic window and the cold-start health check loop entered a retry cycle with no maximum attempt count.</t>
  </si>
  <si>
    <t xml:space="preserve">Airflow task log shows repeated 'waiting for endpoint ready' messages with no backoff cap</t>
  </si>
  <si>
    <t xml:space="preserve">Datadog custom metric ml_endpoint.replica_count shows 0 for the duration of the stall</t>
  </si>
  <si>
    <t xml:space="preserve">Set minReplicas &gt;= 1 for any ML endpoint in the critical path of a production DAG, documented in the metadata model's dependency section.</t>
  </si>
  <si>
    <t xml:space="preserve">AI AutoRCA should identify: The bank's SFTP server rotated its host key without notice; the sensor's underlying paramiko client silently retries the handshake without ever raising a clear error or respecting the sensor's timeout parameter due to a library-level bug.</t>
  </si>
  <si>
    <t xml:space="preserve">Airflow sensor task shows continuous 'poking' log lines with identical timest/no error</t>
  </si>
  <si>
    <t xml:space="preserve">Datadog no data received for sftp.connection.success metric during the stall window</t>
  </si>
  <si>
    <t xml:space="preserve">Add a distinct 'connectivity pre-check' task ahead of every FileSensor that validates host reachability/handshake before entering poke mode.</t>
  </si>
  <si>
    <t xml:space="preserve">AI AutoRCA should identify: A join key (campaign_id) became non-unique in the source Ad Platform export after a schema change introduced duplicate rows per campaign per creative variant, turning a 1:1 join into an unbounded fan-out.</t>
  </si>
  <si>
    <t xml:space="preserve">Airflow task query profile (pulled via AutoRCA) shows row count growing exponentially mid-query</t>
  </si>
  <si>
    <t xml:space="preserve">Datadog snowflake.credits_used climbing abnormally during the task's runtime</t>
  </si>
  <si>
    <t xml:space="preserve">Add a pre-join cardinality-check task in the architecture template for every join-heavy DAG, failing fast if a join key's uniqueness assumption is violated.</t>
  </si>
  <si>
    <t xml:space="preserve">AI AutoRCA should identify: The upstream Store Sales rollup DAG (see LRJ Failure catalogue) ran long due to a Kafka duplicate-event issue, and the downstream Finance DAG's sensor has no independent SLA of its own, only inheriting the delay.</t>
  </si>
  <si>
    <t xml:space="preserve">Airflow task logs, Datadog infrastructure/application metrics, cross-DAG lineage/dependency graph, JIRA/Confluence RAG context for known-issue matching</t>
  </si>
  <si>
    <t xml:space="preserve">Airflow ExternalTaskSensor log shows extended poke duration matching upstream DAG's late completion timestamp</t>
  </si>
  <si>
    <t xml:space="preserve">Datadog dag_dependency.upstream_delay custom metric shows correlated spike across both DAGs</t>
  </si>
  <si>
    <t xml:space="preserve">Model cross-DAG dependencies explicitly in the metadata model with a 'max_acceptable_upstream_delay' field so AutoRCA can flag cascade risk before the SLA is actually missed.</t>
  </si>
  <si>
    <t xml:space="preserve">AI AutoRCA should identify: Inventory reconciliation (Warehouse domain) ran long due to new dark-store volume, and Pricing's dependency is a hard blocking sensor rather than a partial/dataset-based trigger, so any upstream delay fully propagates.</t>
  </si>
  <si>
    <t xml:space="preserve">Airflow shows Pricing DAG's sensor task waited 2h20m beyond its historical p95 wait time</t>
  </si>
  <si>
    <t xml:space="preserve">Datadog cross-DAG lineage view (via Airflow lineage backend) shows the delay chain visually</t>
  </si>
  <si>
    <t xml:space="preserve">Add cascade-risk scoring to the metadata model based on historical upstream-DAG duration variance, surfaced on a cross-domain dependency dashboard.</t>
  </si>
  <si>
    <t xml:space="preserve">AI AutoRCA should identify: Suppliers domain's ASN ingestion (see Stuck/Hung catalogue) hung on a vendor-portal sensor, and Warehouse's receiving-schedule DAG has no timeout-independent fallback, so the block fully cascades.</t>
  </si>
  <si>
    <t xml:space="preserve">Airflow lineage graph (cross-DAG) shows the dependency chain and timestamps confirming propagation</t>
  </si>
  <si>
    <t xml:space="preserve">Datadog shows a synchronized delay signature: Suppliers DAG stuck event followed by Warehouse DAG sensor wait event</t>
  </si>
  <si>
    <t xml:space="preserve">Require every cross-domain dependency in the metadata model to declare a documented fallback/degraded-mode behavior, not just a hard blocking wait.</t>
  </si>
  <si>
    <t xml:space="preserve">AI AutoRCA should identify: Product Master's sync neared its SLA ceiling (see Expected LRJ catalogue) and tipped over due to an unplanned new-SKU batch, and Ecommerce's publish DAG has zero tolerance built in - it triggers strictly on upstream DAG success signal.</t>
  </si>
  <si>
    <t xml:space="preserve">Airflow shows catalog_publish DAG's trigger timestamp lagging upstream success timestamp by 2h</t>
  </si>
  <si>
    <t xml:space="preserve">Datadog release-readiness dashboard shows publish task start time drifting later, correlated with Product Master completion time</t>
  </si>
  <si>
    <t xml:space="preserve">Add lead-time buffers to launch-critical DAGs in the metadata model's scheduling section, informed by historical upstream duration percentiles.</t>
  </si>
  <si>
    <t xml:space="preserve">AI AutoRCA should identify: Customer 360's identity merge (see LRJ Failure catalogue) failed and had to be manually rerun, and Marketing's segmentation DAG waits on a fixed cross-DAG sensor with no manual-rerun-aware retry logic.</t>
  </si>
  <si>
    <t xml:space="preserve">Airflow cross-DAG sensor log shows extended wait matching the manual-rerun timestamp of the upstream DAG</t>
  </si>
  <si>
    <t xml:space="preserve">Datadog shows Marketing DAG start-time variance directly correlated to Customer 360 DAG completion variance over trailing 30 days</t>
  </si>
  <si>
    <t xml:space="preserve">Flag launch/campaign-critical downstream DAGs in the metadata model so cascade monitoring applies tighter alert thresholds to them specifically.</t>
  </si>
  <si>
    <t xml:space="preserve">AI AutoRCA should identify: Forecasting's scoring batch failed on OOM (see LRJ Failure catalogue) and required a rerun with reduced batch size, and Purchasing has no intermediate/partial-results consumption path.</t>
  </si>
  <si>
    <t xml:space="preserve">Airflow lineage backend confirms the dependency edge and the specific rerun DAG-run ID that caused the delay</t>
  </si>
  <si>
    <t xml:space="preserve">Datadog shows the OOM-triggered rerun timestamp on Forecasting DAG directly preceding Purchasing DAG's delayed start</t>
  </si>
  <si>
    <t xml:space="preserve">Add a 'partial-consumption-capable' flag to the metadata model for downstream DAGs, guiding architecture choices during DAG factory generation.</t>
  </si>
  <si>
    <t xml:space="preserve">AI AutoRCA should identify: Logistics' carrier rate-shopping DAG hit an unexpectedly long run (see Unexpected LRJ catalogue) due to FedEx API pagination drift, and Returns' label generation has a hard dependency with no cached-rate fallback.</t>
  </si>
  <si>
    <t xml:space="preserve">Airflow shows Returns DAG's ExternalTaskSensor poke count and duration far above its historical baseline</t>
  </si>
  <si>
    <t xml:space="preserve">Datadog cross-DAG delay chain view shows Logistics anomaly directly preceding Returns delay</t>
  </si>
  <si>
    <t xml:space="preserve">Add cached-fallback-availability as a standard architecture pattern option in the metadata model for any DAG depending on volatile third-party rate/pricing data.</t>
  </si>
  <si>
    <t xml:space="preserve">AI AutoRCA should identify: Meta throttled the account after a credential rotation left the OAuth token in a partially-refreshed state, returning 401s that the retry policy misclassified as transient and retried with fixed (non-exponential) 5-second backoff.</t>
  </si>
  <si>
    <t xml:space="preserve">Airflow task instance retry log shows fixed 5s intervals (no exponential growth) across all 900 attempts</t>
  </si>
  <si>
    <t xml:space="preserve">Datadog external_api.retry_count for meta_ads_extract spiked to 900+, error_code breakdown shows 401 dominant</t>
  </si>
  <si>
    <t xml:space="preserve">Add error-code-aware retry classification to the DAG factory's default retry policy: 5xx/timeout retry with backoff, 4xx auth errors fail-fast to AutoRCA.</t>
  </si>
  <si>
    <t xml:space="preserve">AI AutoRCA should identify: A shared jump-host used for all vendor SFTP connections hit its max-concurrent-session limit (50) once dynamic task mapping concurrency exceeded that, causing connection-refused errors that each mapped task independently retried without global coordination.</t>
  </si>
  <si>
    <t xml:space="preserve">Airflow shows retries clustered simultaneously across many mapped task instances rather than spread over time</t>
  </si>
  <si>
    <t xml:space="preserve">Datadog jumphost.active_sessions metric hit its ceiling (50) exactly when retries began climbing</t>
  </si>
  <si>
    <t xml:space="preserve">Add infrastructure-shared-resource constraints (e.g., max concurrent sessions on shared jump hosts) as a first-class metadata field the DAG factory respects when setting concurrency limits.</t>
  </si>
  <si>
    <t xml:space="preserve">AI AutoRCA should identify: The payment gateway's API returned intermittent 503s during a traffic spike, and the DAG's retry policy (5 retries, no cap on total system-wide concurrent retries) amplified load on an already-struggling gateway, worsening the outage.</t>
  </si>
  <si>
    <t xml:space="preserve">Airflow shows total system-wide retry count far exceeding the per-task retry limit due to mapped-instance multiplication</t>
  </si>
  <si>
    <t xml:space="preserve">Datadog payment_gateway.503_response_rate and airflow retry_count rose together, confirming the amplification loop</t>
  </si>
  <si>
    <t xml:space="preserve">Add a 'retry storm containment' pattern to the architecture template library: circuit breaker + global retry budget for any task calling a shared, rate-sensitive external dependency.</t>
  </si>
  <si>
    <t xml:space="preserve">AI AutoRCA should identify: A Salesforce API version deprecation silently changed an error response's HTTP status from 400 to 429 for a specific malformed-query condition, and the retry policy treats all 429s as rate-limiting (retry), when in this case it was a genuine query bug needing a fix, not a retry.</t>
  </si>
  <si>
    <t xml:space="preserve">Airflow task retry log shows identical error message text across all 620 attempts, suggesting a deterministic (not transient) failure</t>
  </si>
  <si>
    <t xml:space="preserve">Datadog external_api.429_response_rate spiked but salesforce.api_usage_limit metric stayed well under threshold - a red flag that it wasn't real rate limiting</t>
  </si>
  <si>
    <t xml:space="preserve">Add a rule to the DAG factory's error-handling template requiring response-body pattern matching for ambiguous status codes like 429, not status-code-only classification.</t>
  </si>
  <si>
    <t xml:space="preserve">AI AutoRCA should identify: A downstream internal WMS availability microservice degraded under unrelated load, and the DAG's retry policy had no maximum concurrent in-flight retries, so retries compounded faster than the struggling service could drain its queue, a self-reinforcing storm.</t>
  </si>
  <si>
    <t xml:space="preserve">Airflow shows retry rate accelerating over time (not flat), consistent with a compounding storm rather than steady transient errors</t>
  </si>
  <si>
    <t xml:space="preserve">Datadog wms_availability_service.error_rate and airflow.retry_count show a clear feedback-loop correlation</t>
  </si>
  <si>
    <t xml:space="preserve">Standardize a 'retry concurrency ceiling' parameter in the metadata model, defaulted conservatively and tunable per downstream service's known capacity.</t>
  </si>
  <si>
    <t xml:space="preserve">AI AutoRCA should identify: A regional ISP outage affected 60 stores simultaneously, and the DAG's per-store retry logic had no outage-awareness, so it kept retrying unreachable stores at the same aggressive interval as healthy ones, wasting scheduler/worker capacity that could have served healthy-store tasks faster.</t>
  </si>
  <si>
    <t xml:space="preserve">Airflow shows 60 specific store-mapped task instances consuming disproportionate scheduler time relative to their eventual failure outcome</t>
  </si>
  <si>
    <t xml:space="preserve">Datadog network.region_outage_flag (from an ISP status integration) correlates with the spike in POS heartbeat retries</t>
  </si>
  <si>
    <t xml:space="preserve">Add store/vendor/site health-state tracking to the metadata model so the DAG factory can generate outage-aware, isolated retry logic per mapped instance rather than uniform retry policy.</t>
  </si>
  <si>
    <t xml:space="preserve">AI AutoRCA should identify: Two regional bank accounts' API credentials were mid-rotation by the treasury team without coordinating with the data engineering team, causing consistent 403s that were retried as if transient.</t>
  </si>
  <si>
    <t xml:space="preserve">Airflow retry log shows consistent, non-decreasing error pattern typical of a credential (not network) issue</t>
  </si>
  <si>
    <t xml:space="preserve">Datadog shows 403 errors isolated to exactly 2 of 12 mapped task instances, correlated with treasury's change-ticket timestamp</t>
  </si>
  <si>
    <t xml:space="preserve">Require any credential-rotation change to be logged against the metadata model's connection registry, triggering an automatic DAG-owner notification before rotation.</t>
  </si>
  <si>
    <t xml:space="preserve">AI AutoRCA should identify: The DAG's mapped task count exceeded the Celery worker pool's total slot capacity (200) by 40x with no pool assignment, so it competed directly with every other production DAG sharing the default pool.</t>
  </si>
  <si>
    <t xml:space="preserve">Airflow UI Pools view shows 8,000 queued task instances against 200 total slots</t>
  </si>
  <si>
    <t xml:space="preserve">Datadog airflow.pool.open_slots for the default pool hit 0 and stayed there for 2h</t>
  </si>
  <si>
    <t xml:space="preserve">Require every DAG in the metadata model to declare a target Airflow pool and a max-concurrency value at registration; default (shared) pool usage should require an explicit exception.</t>
  </si>
  <si>
    <t xml:space="preserve">AI AutoRCA should identify: The task was mistakenly assigned to the same pool as time-critical real-time bidding DAGs, and its high mapped-instance count starved those latency-sensitive DAGs of executor slots during a scheduled 9am campaign launch.</t>
  </si>
  <si>
    <t xml:space="preserve">Airflow Pools view shows content_personalization DAG's mapped instances occupying the shared pool disproportionately</t>
  </si>
  <si>
    <t xml:space="preserve">Datadog shows real_time_bidding pool open_slots dropped to near-zero despite RTB DAGs themselves not increasing in volume</t>
  </si>
  <si>
    <t xml:space="preserve">Classify DAGs by latency-sensitivity (real-time / near-real-time / batch) in the metadata model and auto-assign pools accordingly during DAG factory generation.</t>
  </si>
  <si>
    <t xml:space="preserve">AI AutoRCA should identify: The Kubernetes namespace's resource quota (CPU requests) was sized for the DAG's original 10-zone design and never updated after zone count grew to 35, so the scheduler could only start 10 pods concurrently, queuing the rest.</t>
  </si>
  <si>
    <t xml:space="preserve">Airflow task instances show 'queued' state with Kubernetes scheduler events indicating 'Insufficient cpu'</t>
  </si>
  <si>
    <t xml:space="preserve">Datadog kubernetes.namespace.cpu_requests hit the quota ceiling exactly when queued pod count began climbing</t>
  </si>
  <si>
    <t xml:space="preserve">Add expected-concurrent-pod-count as a required metadata field so infrastructure capacity planning is validated automatically whenever a DAG's mapping cardinality changes.</t>
  </si>
  <si>
    <t xml:space="preserve">AI AutoRCA should identify: The GPU-backed OCR worker pool has only 4 slots, sized for typical daily volume of ~300 invoices, but month-end invoice volume spikes to 1,100+ without any elastic scaling of the pool.</t>
  </si>
  <si>
    <t xml:space="preserve">Airflow shows OCR task instances queued state duration far exceeding their eventual execution duration</t>
  </si>
  <si>
    <t xml:space="preserve">Datadog gpu_pool.queue_depth climbed steadily through month-end days, correlated with the invoice volume metric</t>
  </si>
  <si>
    <t xml:space="preserve">Add a 'volume seasonality profile' field to the metadata model so month-end-heavy DAGs get proactive pool scaling ahead of known high-volume periods.</t>
  </si>
  <si>
    <t xml:space="preserve">AI AutoRCA should identify: The scheduler's parsing loop performance degrades non-linearly with very high per-DAG-run task counts when using classic (non-deferred) dynamic task mapping without batching, causing scheduler heartbeat delays across the entire Airflow instance.</t>
  </si>
  <si>
    <t xml:space="preserve">Airflow scheduler logs show elevated DAG-parsing loop duration correlated with this DAG's scheduled run time</t>
  </si>
  <si>
    <t xml:space="preserve">Datadog airflow.scheduler.heartbeat_latency spiked platform-wide during the rollup DAG's peak task-generation moment</t>
  </si>
  <si>
    <t xml:space="preserve">Add a 'max recommended mapped-task cardinality per DAG-run' guideline to the DAG factory template, with batching logic auto-applied above a threshold (e.g., 100).</t>
  </si>
  <si>
    <t xml:space="preserve">AI AutoRCA should identify: Two independently-scheduled DAGs (personalization scoring and recommendation-engine refresh) were both assigned to the same 'ml-inference' pool without coordination, and their overlapping schedules regularly exceed the pool's combined capacity needs.</t>
  </si>
  <si>
    <t xml:space="preserve">Airflow Pools view attribution by DAG confirms both DAGs' overlapping schedule windows</t>
  </si>
  <si>
    <t xml:space="preserve">Datadog pool.ml_inference.queued_tasks shows two distinct DAGs both contributing to the queue, visible via task-owner tagging</t>
  </si>
  <si>
    <t xml:space="preserve">Add a pool-contention check to the DAG factory validation step that flags newly registered DAGs sharing a pool with existing DAGs whose schedules overlap significantly.</t>
  </si>
  <si>
    <t xml:space="preserve">AI AutoRCA should identify: The inference pool was provisioned for average daily volume (~500 items) with no seasonal scaling plan, and holiday-return volume is roughly 6x average, overwhelming fixed capacity.</t>
  </si>
  <si>
    <t xml:space="preserve">Airflow shows a growing backlog of queued task instances across consecutive DAG runs, not clearing between runs</t>
  </si>
  <si>
    <t xml:space="preserve">Datadog inference_pool.queue_depth trend shows sustained growth (not recovering between runs) through the holiday period</t>
  </si>
  <si>
    <t xml:space="preserve">Formalize seasonal capacity plans as versioned entries in the metadata model, reviewed and pre-approved ahead of known peak periods (holiday returns, back-to-school, etc.).</t>
  </si>
  <si>
    <t xml:space="preserve">AI AutoRCA should identify: The task loads all SKU-cluster forecasts into a single in-memory DataFrame (regional exclusives expansion pushed this to ~19GB) on a worker sized for 16GB, with no chunking strategy.</t>
  </si>
  <si>
    <t xml:space="preserve">Airflow task logs show the same failure signature (OOMKilled) recurring across multiple historical runs when SKU count crosses a threshold</t>
  </si>
  <si>
    <t xml:space="preserve">Datadog container.memory.usage sustained above 90% for the task's full duration, spiking to OOMKilled on bad weeks</t>
  </si>
  <si>
    <t xml:space="preserve">Add a memory-budget estimation step to the DAG factory that computes expected peak memory from historical row-count-per-byte ratios and rejects unchunked designs above a configurable threshold.</t>
  </si>
  <si>
    <t xml:space="preserve">AI AutoRCA should identify: Kubernetes node affinity rules were not configured, so this CPU-intensive, non-parallelized SQL-heavy task and two other CPU-bound DAGs were scheduled onto the same node by chance, and none of the three declared CPU resource requests/limits.</t>
  </si>
  <si>
    <t xml:space="preserve">Airflow shows correlated slowdowns across three seemingly-unrelated DAGs, resolved by cross-referencing Kubernetes node placement</t>
  </si>
  <si>
    <t xml:space="preserve">Datadog kubernetes.node.cpu.usage shows all three DAGs' pods co-located and collectively saturating the node</t>
  </si>
  <si>
    <t xml:space="preserve">Require every DAG in the metadata model to declare expected CPU/memory resource requests, used both for Kubernetes scheduling and for automatic anti-affinity rule generation.</t>
  </si>
  <si>
    <t xml:space="preserve">AI AutoRCA should identify: The solver builds its full constraint matrix in memory for all SKU-location pairs at once; growth in warehouse footprint (new mezzanine level added) pushed the combination count past the point the current memory allocation can hold.</t>
  </si>
  <si>
    <t xml:space="preserve">Airflow task failure logs (on bad nights) show OOMKilled correlated with a memory-usage metric that had been trending up for weeks</t>
  </si>
  <si>
    <t xml:space="preserve">Datadog container.memory.usage shows a clear upward trend correlated with warehouse footprint growth, not a sudden spike</t>
  </si>
  <si>
    <t xml:space="preserve">Add solver-problem-size forecasting (based on SKU-location combination count) to the metadata model, auto-flagging when a DAG's problem size trend approaches its allocated resource ceiling.</t>
  </si>
  <si>
    <t xml:space="preserve">AI AutoRCA should identify: The OCR model was originally sized/tested against typical invoice image resolutions (150 DPI), but several new vendors submit scans at 600 DPI, roughly quadrupling per-image GPU memory footprint without any corresponding batch-size adjustment.</t>
  </si>
  <si>
    <t xml:space="preserve">Airflow task failure logs show CUDA out-of-memory errors isolated to specific vendor-tagged sub-batches</t>
  </si>
  <si>
    <t xml:space="preserve">Datadog gpu.memory.usage shows periodic spikes to the allocation ceiling correlated with specific high-DPI vendor batches</t>
  </si>
  <si>
    <t xml:space="preserve">Add input-characteristic validation (resolution, file size) as a standard pre-flight check in the architecture template for any GPU/ML-inference-backed task.</t>
  </si>
  <si>
    <t xml:space="preserve">AI AutoRCA should identify: The personalization DAG was never given its own Redis instance/namespace with a bounded key-eviction policy, so as the customer-segment cache grew (a new micro-segmentation feature added 40x more cache keys), it competed for memory with checkout session data on the same Redis cluster.</t>
  </si>
  <si>
    <t xml:space="preserve">Airflow task itself succeeds (no failure), but the AutoRCA correlation surfaces the downstream checkout impact via cross-service Datadog tagging</t>
  </si>
  <si>
    <t xml:space="preserve">Datadog redis.memory.used approaching maxmemory with evicted_keys metric spiking, tagged keys show mixed personalization/session prefixes</t>
  </si>
  <si>
    <t xml:space="preserve">Require any shared-infrastructure resource (Redis, shared DB, shared queue) usage to be declared in the metadata model with an isolation/blast-radius assessment before production deployment.</t>
  </si>
  <si>
    <t xml:space="preserve">AI AutoRCA should identify: The rules engine evaluates all rules against all carts in a nested-loop pattern (O(rules x carts)) rather than an indexed/rule-triggered evaluation approach, and a major promotional event tripled both active cart count and active rule count simultaneously.</t>
  </si>
  <si>
    <t xml:space="preserve">Airflow task duration metric shows non-linear (multiplicative) growth matching the CPU saturation pattern</t>
  </si>
  <si>
    <t xml:space="preserve">Datadog container.cpu.usage for the rules-evaluation task shows a clear correlation with the product of cart_count x active_rule_count, not either alone</t>
  </si>
  <si>
    <t xml:space="preserve">Add algorithmic-complexity review as a required design-gate in the architecture template for any task whose complexity scales multiplicatively with two independently-growing inputs.</t>
  </si>
  <si>
    <t xml:space="preserve">AI AutoRCA should identify: The solver's in-memory distance-matrix representation grows quadratically with stop count, and peak-week stop counts (holiday shipping) are roughly 2.5x average, pushing the quadratic memory requirement well past the node's capacity.</t>
  </si>
  <si>
    <t xml:space="preserve">Airflow task failure logs (during peak weeks only) show OOMKilled, with a fallback DAG branch confirming heuristic-mode activation</t>
  </si>
  <si>
    <t xml:space="preserve">Datadog container.memory.usage shows a clear quadratic-shaped trend against the stop_count custom metric across the year</t>
  </si>
  <si>
    <t xml:space="preserve">Add a documented seasonal resource-scaling calendar to the metadata model (mirroring the Expected-LRJ pattern) specifically for known quadratic/super-linear-scaling algorithms.</t>
  </si>
  <si>
    <t xml:space="preserve">Metadata Model — DAG Factory Schema (drives dynamic generation of all DAGs)</t>
  </si>
  <si>
    <t xml:space="preserve">Section</t>
  </si>
  <si>
    <t xml:space="preserve">Field Name</t>
  </si>
  <si>
    <t xml:space="preserve">Data Type</t>
  </si>
  <si>
    <t xml:space="preserve">Required</t>
  </si>
  <si>
    <t xml:space="preserve">Example Value</t>
  </si>
  <si>
    <t xml:space="preserve">DAG Identity</t>
  </si>
  <si>
    <t xml:space="preserve">dag_id</t>
  </si>
  <si>
    <t xml:space="preserve">string</t>
  </si>
  <si>
    <t xml:space="preserve">Yes</t>
  </si>
  <si>
    <t xml:space="preserve">Unique DAG identifier, generated as RTL_{domain_code}_{lrj_category_code}</t>
  </si>
  <si>
    <t xml:space="preserve">dag_name</t>
  </si>
  <si>
    <t xml:space="preserve">Human-readable DAG name shown in the Airflow UI</t>
  </si>
  <si>
    <t xml:space="preserve">Product Master Full Catalog Sync SLA Monitor</t>
  </si>
  <si>
    <t xml:space="preserve">business_domain</t>
  </si>
  <si>
    <t xml:space="preserve">enum(15)</t>
  </si>
  <si>
    <t xml:space="preserve">One of the 15 retail business domains</t>
  </si>
  <si>
    <t xml:space="preserve">lrj_category</t>
  </si>
  <si>
    <t xml:space="preserve">enum(8)</t>
  </si>
  <si>
    <t xml:space="preserve">One of the 8 Long-Running-Job categories driving the architecture template selection</t>
  </si>
  <si>
    <t xml:space="preserve">owner_team</t>
  </si>
  <si>
    <t xml:space="preserve">Team accountable for the DAG, used for Teams/on-call routing</t>
  </si>
  <si>
    <t xml:space="preserve">Data Platform - Retail Domain</t>
  </si>
  <si>
    <t xml:space="preserve">tags</t>
  </si>
  <si>
    <t xml:space="preserve">list[string]</t>
  </si>
  <si>
    <t xml:space="preserve">No</t>
  </si>
  <si>
    <t xml:space="preserve">Airflow UI tags for filtering/search</t>
  </si>
  <si>
    <t xml:space="preserve">['lululemon','elrj','product']</t>
  </si>
  <si>
    <t xml:space="preserve">Scheduling</t>
  </si>
  <si>
    <t xml:space="preserve">schedule_cron</t>
  </si>
  <si>
    <t xml:space="preserve">cron string</t>
  </si>
  <si>
    <t xml:space="preserve">Base cron schedule</t>
  </si>
  <si>
    <t xml:space="preserve">sla</t>
  </si>
  <si>
    <t xml:space="preserve">duration</t>
  </si>
  <si>
    <t xml:space="preserve">Baseline SLA duration used for sla_miss_callback</t>
  </si>
  <si>
    <t xml:space="preserve">dow_sla_overrides</t>
  </si>
  <si>
    <t xml:space="preserve">map[day-&gt;duration]</t>
  </si>
  <si>
    <t xml:space="preserve">Per-day-of-week SLA overrides for known weekly seasonality</t>
  </si>
  <si>
    <t xml:space="preserve">{'Mon':'6h'}</t>
  </si>
  <si>
    <t xml:space="preserve">seasonal_sla_calendar</t>
  </si>
  <si>
    <t xml:space="preserve">list[{date_range,duration}]</t>
  </si>
  <si>
    <t xml:space="preserve">Named peak-period SLA overrides (e.g., holiday, month-end)</t>
  </si>
  <si>
    <t xml:space="preserve">[{'name':'Peak Nov-Jan','sla':'6h'}]</t>
  </si>
  <si>
    <t xml:space="preserve">is_expected_long_running</t>
  </si>
  <si>
    <t xml:space="preserve">boolean</t>
  </si>
  <si>
    <t xml:space="preserve">Suppresses false-positive SLA-miss alerts for documented long-running baselines</t>
  </si>
  <si>
    <t xml:space="preserve">true</t>
  </si>
  <si>
    <t xml:space="preserve">max_acceptable_upstream_delay</t>
  </si>
  <si>
    <t xml:space="preserve">Used by Cascading Delay category to score cascade risk on cross-DAG dependencies</t>
  </si>
  <si>
    <t xml:space="preserve">Architecture</t>
  </si>
  <si>
    <t xml:space="preserve">lrj_category_code</t>
  </si>
  <si>
    <t xml:space="preserve">Selects which of the 8 architecture templates the factory instantiates</t>
  </si>
  <si>
    <t xml:space="preserve">ELRJ</t>
  </si>
  <si>
    <t xml:space="preserve">architecture_template_version</t>
  </si>
  <si>
    <t xml:space="preserve">Version pin of the template used, for reproducibility/audit</t>
  </si>
  <si>
    <t xml:space="preserve">v1.3</t>
  </si>
  <si>
    <t xml:space="preserve">concurrency_pattern</t>
  </si>
  <si>
    <t xml:space="preserve">enum</t>
  </si>
  <si>
    <t xml:space="preserve">One of: linear, fan_out_fan_in, branch_conditional, sensor_gated, cross_dag_chain, dynamic_mapped_retry, dynamic_mapped_pool, resource_bounded</t>
  </si>
  <si>
    <t xml:space="preserve">fan_out_fan_in</t>
  </si>
  <si>
    <t xml:space="preserve">dynamic_task_mapping</t>
  </si>
  <si>
    <t xml:space="preserve">Whether the DAG uses .expand() dynamic task mapping</t>
  </si>
  <si>
    <t xml:space="preserve">mapped_task_cardinality_estimate</t>
  </si>
  <si>
    <t xml:space="preserve">integer</t>
  </si>
  <si>
    <t xml:space="preserve">Expected number of mapped instances, used for scheduler/pool capacity planning</t>
  </si>
  <si>
    <t xml:space="preserve">450</t>
  </si>
  <si>
    <t xml:space="preserve">mapped_task_batching_threshold</t>
  </si>
  <si>
    <t xml:space="preserve">Cardinality above which the factory auto-batches mapped tasks to protect scheduler performance</t>
  </si>
  <si>
    <t xml:space="preserve">100</t>
  </si>
  <si>
    <t xml:space="preserve">cross_dag_dependencies</t>
  </si>
  <si>
    <t xml:space="preserve">list[dag_id]</t>
  </si>
  <si>
    <t xml:space="preserve">Upstream DAG IDs this DAG depends on via ExternalTaskSensor/Datasets</t>
  </si>
  <si>
    <t xml:space="preserve">['RTL_STS_LRJF']</t>
  </si>
  <si>
    <t xml:space="preserve">partial_consumption_capable</t>
  </si>
  <si>
    <t xml:space="preserve">Whether downstream can consume upstream partitions incrementally (Datasets) vs. hard blocking wait</t>
  </si>
  <si>
    <t xml:space="preserve">false</t>
  </si>
  <si>
    <t xml:space="preserve">fallback_degraded_mode</t>
  </si>
  <si>
    <t xml:space="preserve">Documented behavior when an upstream/sensor dependency is not satisfied within a grace window</t>
  </si>
  <si>
    <t xml:space="preserve">use_prior_day_snapshot</t>
  </si>
  <si>
    <t xml:space="preserve">Resourcing</t>
  </si>
  <si>
    <t xml:space="preserve">target_airflow_pool</t>
  </si>
  <si>
    <t xml:space="preserve">Dedicated or shared Airflow pool assignment; default pool requires an explicit exception</t>
  </si>
  <si>
    <t xml:space="preserve">product_master_pool</t>
  </si>
  <si>
    <t xml:space="preserve">max_active_tis_per_dag</t>
  </si>
  <si>
    <t xml:space="preserve">Caps concurrent mapped task instances for this DAG</t>
  </si>
  <si>
    <t xml:space="preserve">50</t>
  </si>
  <si>
    <t xml:space="preserve">cpu_request</t>
  </si>
  <si>
    <t xml:space="preserve">Kubernetes CPU request for pod-based execution</t>
  </si>
  <si>
    <t xml:space="preserve">2000m</t>
  </si>
  <si>
    <t xml:space="preserve">memory_request</t>
  </si>
  <si>
    <t xml:space="preserve">Kubernetes memory request</t>
  </si>
  <si>
    <t xml:space="preserve">4Gi</t>
  </si>
  <si>
    <t xml:space="preserve">memory_budget_estimate_gb</t>
  </si>
  <si>
    <t xml:space="preserve">float</t>
  </si>
  <si>
    <t xml:space="preserve">Estimated peak memory from historical row-count/byte ratios, used to gate unchunked designs</t>
  </si>
  <si>
    <t xml:space="preserve">19.2</t>
  </si>
  <si>
    <t xml:space="preserve">node_affinity_group</t>
  </si>
  <si>
    <t xml:space="preserve">Groups CPU/memory-heavy DAGs to avoid harmful co-location on shared nodes</t>
  </si>
  <si>
    <t xml:space="preserve">cpu_heavy_batch</t>
  </si>
  <si>
    <t xml:space="preserve">shared_resource_dependencies</t>
  </si>
  <si>
    <t xml:space="preserve">Shared infra (Redis, jump host, GPU pool) this DAG competes for, with blast-radius notes</t>
  </si>
  <si>
    <t xml:space="preserve">['redis-personalization: isolated namespace required']</t>
  </si>
  <si>
    <t xml:space="preserve">seasonal_scaling_calendar</t>
  </si>
  <si>
    <t xml:space="preserve">list[{name,date_range,scale_factor}]</t>
  </si>
  <si>
    <t xml:space="preserve">Pre-approved capacity scale-ups for known peak periods</t>
  </si>
  <si>
    <t xml:space="preserve">[{'name':'Holiday Returns','scale':'6x'}]</t>
  </si>
  <si>
    <t xml:space="preserve">Retry &amp; Resilience</t>
  </si>
  <si>
    <t xml:space="preserve">retry_policy</t>
  </si>
  <si>
    <t xml:space="preserve">transient_exponential_backoff, auth_fail_fast, none</t>
  </si>
  <si>
    <t xml:space="preserve">transient_exponential_backoff</t>
  </si>
  <si>
    <t xml:space="preserve">max_retries</t>
  </si>
  <si>
    <t xml:space="preserve">Per-task-instance retry ceiling</t>
  </si>
  <si>
    <t xml:space="preserve">5</t>
  </si>
  <si>
    <t xml:space="preserve">retry_error_classification</t>
  </si>
  <si>
    <t xml:space="preserve">map[http_code-&gt;action]</t>
  </si>
  <si>
    <t xml:space="preserve">Distinguishes genuine transient errors from misclassified/auth errors</t>
  </si>
  <si>
    <t xml:space="preserve">{'401':'fail_fast','429':'inspect_body','5xx':'retry_backoff'}</t>
  </si>
  <si>
    <t xml:space="preserve">global_retry_budget</t>
  </si>
  <si>
    <t xml:space="preserve">Caps total system-wide retries across all mapped instances to prevent amplification storms</t>
  </si>
  <si>
    <t xml:space="preserve">500</t>
  </si>
  <si>
    <t xml:space="preserve">circuit_breaker_threshold</t>
  </si>
  <si>
    <t xml:space="preserve">Error-rate threshold that trips a circuit breaker for a downstream dependency</t>
  </si>
  <si>
    <t xml:space="preserve">0.25</t>
  </si>
  <si>
    <t xml:space="preserve">sensor_timeout</t>
  </si>
  <si>
    <t xml:space="preserve">Mandatory bounded timeout for every sensor/deferrable operator (no unbounded poke)</t>
  </si>
  <si>
    <t xml:space="preserve">sensor_mode</t>
  </si>
  <si>
    <t xml:space="preserve">poke or reschedule</t>
  </si>
  <si>
    <t xml:space="preserve">reschedule</t>
  </si>
  <si>
    <t xml:space="preserve">Data Sources</t>
  </si>
  <si>
    <t xml:space="preserve">source_system</t>
  </si>
  <si>
    <t xml:space="preserve">Name of the upstream system of record</t>
  </si>
  <si>
    <t xml:space="preserve">source_type</t>
  </si>
  <si>
    <t xml:space="preserve">API, SFTP, DB, Kafka, ERP, CRM, Vendor Feed</t>
  </si>
  <si>
    <t xml:space="preserve">API</t>
  </si>
  <si>
    <t xml:space="preserve">destination_system</t>
  </si>
  <si>
    <t xml:space="preserve">Target storage/table</t>
  </si>
  <si>
    <t xml:space="preserve">schema_evolution_mode</t>
  </si>
  <si>
    <t xml:space="preserve">strict, merge_schema, review_gate</t>
  </si>
  <si>
    <t xml:space="preserve">review_gate</t>
  </si>
  <si>
    <t xml:space="preserve">Monitoring &amp; AI AutoRCA</t>
  </si>
  <si>
    <t xml:space="preserve">datadog_monitors</t>
  </si>
  <si>
    <t xml:space="preserve">Datadog monitor names attached to this DAG's tasks</t>
  </si>
  <si>
    <t xml:space="preserve">['duration_vs_sla_ratio','pool_open_slots']</t>
  </si>
  <si>
    <t xml:space="preserve">on_failure_callback</t>
  </si>
  <si>
    <t xml:space="preserve">Python callable that invokes the AI AutoRCA multi-agent pipeline</t>
  </si>
  <si>
    <t xml:space="preserve">ai_autorca.trigger_rca</t>
  </si>
  <si>
    <t xml:space="preserve">sla_miss_callback</t>
  </si>
  <si>
    <t xml:space="preserve">Python callable fired on SLA miss, feeds AutoRCA context</t>
  </si>
  <si>
    <t xml:space="preserve">ai_autorca.sla_context</t>
  </si>
  <si>
    <t xml:space="preserve">rca_evidence_sources</t>
  </si>
  <si>
    <t xml:space="preserve">list[enum]</t>
  </si>
  <si>
    <t xml:space="preserve">airflow_logs, datadog_metrics, postgres_pg_stat_activity, kubernetes_events, snowflake_query_history</t>
  </si>
  <si>
    <t xml:space="preserve">['airflow_logs','datadog_metrics']</t>
  </si>
  <si>
    <t xml:space="preserve">confidence_threshold_auto_remediate</t>
  </si>
  <si>
    <t xml:space="preserve">Confidence score above which AutoRCA may trigger an approved auto-remediation (else recommend only)</t>
  </si>
  <si>
    <t xml:space="preserve">0.9</t>
  </si>
  <si>
    <t xml:space="preserve">Notifications</t>
  </si>
  <si>
    <t xml:space="preserve">teams_webhook_channel</t>
  </si>
  <si>
    <t xml:space="preserve">Target Microsoft Teams channel for Adaptive Card notifications</t>
  </si>
  <si>
    <t xml:space="preserve">#retail-etl-oncall</t>
  </si>
  <si>
    <t xml:space="preserve">email_distribution_list</t>
  </si>
  <si>
    <t xml:space="preserve">Fallback/escalation email list</t>
  </si>
  <si>
    <t xml:space="preserve">data-platform-oncall@company.com</t>
  </si>
  <si>
    <t xml:space="preserve">notify_on</t>
  </si>
  <si>
    <t xml:space="preserve">success, failure, sla_near_miss, sla_miss, cascade_detected, retry_storm_detected</t>
  </si>
  <si>
    <t xml:space="preserve">['failure','sla_miss']</t>
  </si>
  <si>
    <t xml:space="preserve">Governance</t>
  </si>
  <si>
    <t xml:space="preserve">priority</t>
  </si>
  <si>
    <t xml:space="preserve">enum(P1-P3)</t>
  </si>
  <si>
    <t xml:space="preserve">Business priority tier</t>
  </si>
  <si>
    <t xml:space="preserve">criticality</t>
  </si>
  <si>
    <t xml:space="preserve">Critical, High, Medium, Low</t>
  </si>
  <si>
    <t xml:space="preserve">change_calendar_ref</t>
  </si>
  <si>
    <t xml:space="preserve">Links credential rotation / vendor change events to this DAG's connection registry</t>
  </si>
  <si>
    <t xml:space="preserve">CHG-2026-0417</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</si>
</sst>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b val="true"/>
      <sz val="12"/>
      <color rgb="FF1F3864"/>
      <name val="Arial"/>
      <family val="0"/>
      <charset val="1"/>
    </font>
    <font>
      <sz val="10"/>
      <name val="Arial"/>
      <family val="0"/>
      <charset val="1"/>
    </font>
    <font>
      <b val="true"/>
      <sz val="10"/>
      <name val="Arial"/>
      <family val="0"/>
      <charset val="1"/>
    </font>
    <font>
      <b val="true"/>
      <sz val="10"/>
      <color rgb="FFFFFFFF"/>
      <name val="Arial"/>
      <family val="0"/>
      <charset val="1"/>
    </font>
    <font>
      <b val="true"/>
      <sz val="13"/>
      <color rgb="FF1F3864"/>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FFE699"/>
        <bgColor rgb="FFFFF2CC"/>
      </patternFill>
    </fill>
    <fill>
      <patternFill patternType="solid">
        <fgColor rgb="FFF8CBAD"/>
        <bgColor rgb="FFEAD1DC"/>
      </patternFill>
    </fill>
    <fill>
      <patternFill patternType="solid">
        <fgColor rgb="FFC6E0B4"/>
        <bgColor rgb="FFD0E0E3"/>
      </patternFill>
    </fill>
    <fill>
      <patternFill patternType="solid">
        <fgColor rgb="FFFCE4D6"/>
        <bgColor rgb="FFFFF2CC"/>
      </patternFill>
    </fill>
    <fill>
      <patternFill patternType="solid">
        <fgColor rgb="FFDCE6F1"/>
        <bgColor rgb="FFD0E0E3"/>
      </patternFill>
    </fill>
    <fill>
      <patternFill patternType="solid">
        <fgColor rgb="FFD0E0E3"/>
        <bgColor rgb="FFD9D9D9"/>
      </patternFill>
    </fill>
    <fill>
      <patternFill patternType="solid">
        <fgColor rgb="FFE2EFDA"/>
        <bgColor rgb="FFDCE6F1"/>
      </patternFill>
    </fill>
    <fill>
      <patternFill patternType="solid">
        <fgColor rgb="FFEAD1DC"/>
        <bgColor rgb="FFD9D2E9"/>
      </patternFill>
    </fill>
    <fill>
      <patternFill patternType="solid">
        <fgColor rgb="FFD9D2E9"/>
        <bgColor rgb="FFD9D9D9"/>
      </patternFill>
    </fill>
    <fill>
      <patternFill patternType="solid">
        <fgColor rgb="FFFFF2CC"/>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4" fontId="7" fillId="4" borderId="1" xfId="0" applyFont="true" applyBorder="true" applyAlignment="true" applyProtection="false">
      <alignment horizontal="left" vertical="top" textRotation="0" wrapText="false" indent="0" shrinkToFit="false"/>
      <protection locked="true" hidden="false"/>
    </xf>
    <xf numFmtId="164" fontId="7" fillId="5" borderId="1" xfId="0" applyFont="true" applyBorder="true" applyAlignment="true" applyProtection="false">
      <alignment horizontal="left" vertical="top" textRotation="0" wrapText="false" indent="0" shrinkToFit="false"/>
      <protection locked="true" hidden="false"/>
    </xf>
    <xf numFmtId="166" fontId="7" fillId="0" borderId="1" xfId="0" applyFont="true" applyBorder="true" applyAlignment="true" applyProtection="false">
      <alignment horizontal="left" vertical="top" textRotation="0" wrapText="false" indent="0" shrinkToFit="false"/>
      <protection locked="true" hidden="false"/>
    </xf>
    <xf numFmtId="164" fontId="7" fillId="6" borderId="1" xfId="0" applyFont="true" applyBorder="true" applyAlignment="true" applyProtection="false">
      <alignment horizontal="left" vertical="top" textRotation="0" wrapText="false" indent="0" shrinkToFit="false"/>
      <protection locked="true" hidden="false"/>
    </xf>
    <xf numFmtId="164" fontId="7" fillId="7" borderId="1" xfId="0" applyFont="true" applyBorder="true" applyAlignment="true" applyProtection="false">
      <alignment horizontal="left" vertical="top" textRotation="0" wrapText="false" indent="0" shrinkToFit="false"/>
      <protection locked="true" hidden="false"/>
    </xf>
    <xf numFmtId="164" fontId="7" fillId="8" borderId="1" xfId="0" applyFont="true" applyBorder="true" applyAlignment="true" applyProtection="false">
      <alignment horizontal="left" vertical="top" textRotation="0" wrapText="false" indent="0" shrinkToFit="false"/>
      <protection locked="true" hidden="false"/>
    </xf>
    <xf numFmtId="164" fontId="7" fillId="9" borderId="1" xfId="0" applyFont="true" applyBorder="true" applyAlignment="true" applyProtection="false">
      <alignment horizontal="left" vertical="top" textRotation="0" wrapText="false" indent="0" shrinkToFit="false"/>
      <protection locked="true" hidden="false"/>
    </xf>
    <xf numFmtId="164" fontId="7" fillId="10" borderId="1" xfId="0" applyFont="true" applyBorder="true" applyAlignment="true" applyProtection="false">
      <alignment horizontal="left" vertical="top" textRotation="0" wrapText="false" indent="0" shrinkToFit="false"/>
      <protection locked="true" hidden="false"/>
    </xf>
    <xf numFmtId="164" fontId="7" fillId="11" borderId="1" xfId="0" applyFont="true" applyBorder="true" applyAlignment="true" applyProtection="false">
      <alignment horizontal="left" vertical="top" textRotation="0" wrapText="false" indent="0" shrinkToFit="false"/>
      <protection locked="true" hidden="false"/>
    </xf>
    <xf numFmtId="164" fontId="7" fillId="12" borderId="1" xfId="0" applyFont="true" applyBorder="tru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D0E0E3"/>
          <bgColor rgb="FF000000"/>
        </patternFill>
      </fill>
    </dxf>
    <dxf>
      <fill>
        <patternFill patternType="solid">
          <fgColor rgb="FFD9D2E9"/>
          <bgColor rgb="FF000000"/>
        </patternFill>
      </fill>
    </dxf>
    <dxf>
      <fill>
        <patternFill patternType="solid">
          <fgColor rgb="FFDCE6F1"/>
          <bgColor rgb="FF000000"/>
        </patternFill>
      </fill>
    </dxf>
    <dxf>
      <fill>
        <patternFill patternType="solid">
          <fgColor rgb="FFE2EFDA"/>
          <bgColor rgb="FF000000"/>
        </patternFill>
      </fill>
    </dxf>
    <dxf>
      <fill>
        <patternFill patternType="solid">
          <fgColor rgb="FFEAD1DC"/>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2CC"/>
      <rgbColor rgb="FFDCE6F1"/>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D0E0E3"/>
      <rgbColor rgb="FFE2EFDA"/>
      <rgbColor rgb="FFFFE699"/>
      <rgbColor rgb="FFC6E0B4"/>
      <rgbColor rgb="FFEAD1DC"/>
      <rgbColor rgb="FFFCE4D6"/>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DAG_InventoryTbl" displayName="DAG_InventoryTbl" ref="A3:J59" headerRowCount="1" totalsRowCount="0" totalsRowShown="0">
  <autoFilter ref="A3:J59"/>
  <tableColumns count="10">
    <tableColumn id="1" name="DAG ID"/>
    <tableColumn id="2" name="DAG Name"/>
    <tableColumn id="3" name="Business Domain"/>
    <tableColumn id="4" name="LRJ Category"/>
    <tableColumn id="5" name="Schedule"/>
    <tableColumn id="6" name="SLA"/>
    <tableColumn id="7" name="Priority"/>
    <tableColumn id="8" name="Criticality"/>
    <tableColumn id="9" name="Source"/>
    <tableColumn id="10" name="Destination"/>
  </tableColumns>
</table>
</file>

<file path=xl/tables/table2.xml><?xml version="1.0" encoding="utf-8"?>
<table xmlns="http://schemas.openxmlformats.org/spreadsheetml/2006/main" id="2" name="DAG_StructureTbl" displayName="DAG_StructureTbl" ref="A3:H689" headerRowCount="1" totalsRowCount="0" totalsRowShown="0">
  <autoFilter ref="A3:H689"/>
  <tableColumns count="8">
    <tableColumn id="1" name="DAG ID"/>
    <tableColumn id="2" name="Task Name"/>
    <tableColumn id="3" name="Task Type"/>
    <tableColumn id="4" name="Upstream Tasks"/>
    <tableColumn id="5" name="Downstream Tasks"/>
    <tableColumn id="6" name="Parallel Group"/>
    <tableColumn id="7" name="Trigger Rule"/>
    <tableColumn id="8" name="Dependencies"/>
  </tableColumns>
</table>
</file>

<file path=xl/tables/table3.xml><?xml version="1.0" encoding="utf-8"?>
<table xmlns="http://schemas.openxmlformats.org/spreadsheetml/2006/main" id="3" name="Expected_AI_RCATbl" displayName="Expected_AI_RCATbl" ref="A3:H59" headerRowCount="1" totalsRowCount="0" totalsRowShown="0">
  <autoFilter ref="A3:H59"/>
  <tableColumns count="8">
    <tableColumn id="1" name="Incident ID"/>
    <tableColumn id="2" name="Expected RCA Summary"/>
    <tableColumn id="3" name="Evidence Required"/>
    <tableColumn id="4" name="Airflow Logs"/>
    <tableColumn id="5" name="Datadog Metrics"/>
    <tableColumn id="6" name="Confidence Score"/>
    <tableColumn id="7" name="Resolution"/>
    <tableColumn id="8" name="Preventive Action"/>
  </tableColumns>
</table>
</file>

<file path=xl/tables/table4.xml><?xml version="1.0" encoding="utf-8"?>
<table xmlns="http://schemas.openxmlformats.org/spreadsheetml/2006/main" id="4" name="Incident_CatalogueTbl" displayName="Incident_CatalogueTbl" ref="A3:J59" headerRowCount="1" totalsRowCount="0" totalsRowShown="0">
  <autoFilter ref="A3:J59"/>
  <tableColumns count="10">
    <tableColumn id="1" name="Incident ID"/>
    <tableColumn id="2" name="DAG ID"/>
    <tableColumn id="3" name="Incident Name"/>
    <tableColumn id="4" name="Category"/>
    <tableColumn id="5" name="Severity"/>
    <tableColumn id="6" name="Description"/>
    <tableColumn id="7" name="Symptoms"/>
    <tableColumn id="8" name="Root Cause"/>
    <tableColumn id="9" name="Business Impact"/>
    <tableColumn id="10" name="Resolution"/>
  </tableColumns>
</table>
</file>

<file path=xl/tables/table5.xml><?xml version="1.0" encoding="utf-8"?>
<table xmlns="http://schemas.openxmlformats.org/spreadsheetml/2006/main" id="5" name="Metadata_ModelTbl" displayName="Metadata_ModelTbl" ref="A3:F54" headerRowCount="1" totalsRowCount="0" totalsRowShown="0">
  <autoFilter ref="A3:F54"/>
  <tableColumns count="6">
    <tableColumn id="1" name="Section"/>
    <tableColumn id="2" name="Field Name"/>
    <tableColumn id="3" name="Data Type"/>
    <tableColumn id="4" name="Required"/>
    <tableColumn id="5" name="Description"/>
    <tableColumn id="6" name="Example Valu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70"/>
    <col collapsed="false" customWidth="true" hidden="false" outlineLevel="0" max="6" min="4" style="0" width="14"/>
  </cols>
  <sheetData>
    <row r="1" customFormat="false" ht="25.5" hidden="false" customHeight="true" outlineLevel="0" collapsed="false">
      <c r="A1" s="1" t="s">
        <v>0</v>
      </c>
      <c r="B1" s="1"/>
      <c r="C1" s="1"/>
      <c r="D1" s="1"/>
      <c r="E1" s="1"/>
      <c r="F1" s="1"/>
    </row>
    <row r="2" customFormat="false" ht="19.5" hidden="false" customHeight="true" outlineLevel="0" collapsed="false">
      <c r="A2" s="2" t="s">
        <v>1</v>
      </c>
      <c r="B2" s="2"/>
      <c r="C2" s="2"/>
      <c r="D2" s="2"/>
      <c r="E2" s="2"/>
      <c r="F2" s="2"/>
    </row>
    <row r="4" customFormat="false" ht="15" hidden="false" customHeight="false" outlineLevel="0" collapsed="false">
      <c r="A4" s="3" t="s">
        <v>2</v>
      </c>
    </row>
    <row r="5" customFormat="false" ht="15" hidden="false" customHeight="false" outlineLevel="0" collapsed="false">
      <c r="A5" s="4" t="s">
        <v>3</v>
      </c>
      <c r="B5" s="5" t="n">
        <f aca="false">COUNTA('DAG Inventory'!A4:A59)</f>
        <v>56</v>
      </c>
    </row>
    <row r="6" customFormat="false" ht="15" hidden="false" customHeight="false" outlineLevel="0" collapsed="false">
      <c r="A6" s="4" t="s">
        <v>4</v>
      </c>
      <c r="B6" s="5" t="n">
        <f aca="false">COUNTA('DAG Structure'!A4:A9999)</f>
        <v>686</v>
      </c>
    </row>
    <row r="7" customFormat="false" ht="15" hidden="false" customHeight="false" outlineLevel="0" collapsed="false">
      <c r="A7" s="4" t="s">
        <v>5</v>
      </c>
      <c r="B7" s="5" t="n">
        <f aca="false">COUNTA('Incident Catalogue'!A4:A59)</f>
        <v>56</v>
      </c>
    </row>
    <row r="8" customFormat="false" ht="15" hidden="false" customHeight="false" outlineLevel="0" collapsed="false">
      <c r="A8" s="4" t="s">
        <v>6</v>
      </c>
      <c r="B8" s="5" t="n">
        <f aca="false">COUNTIF('DAG Inventory'!G4:G59,"P1")</f>
        <v>27</v>
      </c>
    </row>
    <row r="9" customFormat="false" ht="15" hidden="false" customHeight="false" outlineLevel="0" collapsed="false">
      <c r="A9" s="4" t="s">
        <v>7</v>
      </c>
      <c r="B9" s="5" t="n">
        <f aca="false">COUNTIF('DAG Inventory'!G4:G59,"P2")</f>
        <v>26</v>
      </c>
    </row>
    <row r="10" customFormat="false" ht="15" hidden="false" customHeight="false" outlineLevel="0" collapsed="false">
      <c r="A10" s="4" t="s">
        <v>8</v>
      </c>
      <c r="B10" s="5" t="n">
        <f aca="false">COUNTIF('DAG Inventory'!G4:G59,"P3")</f>
        <v>3</v>
      </c>
    </row>
    <row r="11" customFormat="false" ht="15" hidden="false" customHeight="false" outlineLevel="0" collapsed="false">
      <c r="A11" s="4" t="s">
        <v>9</v>
      </c>
      <c r="B11" s="5" t="n">
        <f aca="false">SUMPRODUCT((COUNTIF('DAG Inventory'!C4:C59,'DAG Inventory'!C4:C59)&gt;0)/COUNTIF('DAG Inventory'!C4:C59,'DAG Inventory'!C4:C59))</f>
        <v>15</v>
      </c>
    </row>
    <row r="12" customFormat="false" ht="15" hidden="false" customHeight="false" outlineLevel="0" collapsed="false">
      <c r="A12" s="4" t="s">
        <v>10</v>
      </c>
      <c r="B12" s="5" t="n">
        <f aca="false">COUNTA('Metadata Model'!B4:B999)</f>
        <v>51</v>
      </c>
    </row>
    <row r="14" customFormat="false" ht="15" hidden="false" customHeight="false" outlineLevel="0" collapsed="false">
      <c r="A14" s="3" t="s">
        <v>11</v>
      </c>
    </row>
    <row r="15" customFormat="false" ht="15" hidden="false" customHeight="false" outlineLevel="0" collapsed="false">
      <c r="A15" s="6" t="s">
        <v>12</v>
      </c>
      <c r="B15" s="6" t="s">
        <v>13</v>
      </c>
      <c r="C15" s="6" t="s">
        <v>14</v>
      </c>
    </row>
    <row r="16" customFormat="false" ht="15" hidden="false" customHeight="false" outlineLevel="0" collapsed="false">
      <c r="A16" s="4" t="s">
        <v>15</v>
      </c>
      <c r="B16" s="7" t="n">
        <f aca="false">COUNTIF('DAG Inventory'!D4:D59,"Expected Long Running Job")</f>
        <v>7</v>
      </c>
      <c r="C16" s="8" t="s">
        <v>16</v>
      </c>
    </row>
    <row r="17" customFormat="false" ht="15" hidden="false" customHeight="false" outlineLevel="0" collapsed="false">
      <c r="A17" s="4" t="s">
        <v>17</v>
      </c>
      <c r="B17" s="7" t="n">
        <f aca="false">COUNTIF('DAG Inventory'!D4:D59,"Unexpected Long Running Job")</f>
        <v>7</v>
      </c>
      <c r="C17" s="8" t="s">
        <v>18</v>
      </c>
    </row>
    <row r="18" customFormat="false" ht="23.85" hidden="false" customHeight="false" outlineLevel="0" collapsed="false">
      <c r="A18" s="4" t="s">
        <v>19</v>
      </c>
      <c r="B18" s="7" t="n">
        <f aca="false">COUNTIF('DAG Inventory'!D4:D59,"Long Running Job Failure")</f>
        <v>7</v>
      </c>
      <c r="C18" s="8" t="s">
        <v>20</v>
      </c>
    </row>
    <row r="19" customFormat="false" ht="15" hidden="false" customHeight="false" outlineLevel="0" collapsed="false">
      <c r="A19" s="4" t="s">
        <v>21</v>
      </c>
      <c r="B19" s="7" t="n">
        <f aca="false">COUNTIF('DAG Inventory'!D4:D59,"Stuck/Hung Job")</f>
        <v>7</v>
      </c>
      <c r="C19" s="8" t="s">
        <v>22</v>
      </c>
    </row>
    <row r="20" customFormat="false" ht="23.85" hidden="false" customHeight="false" outlineLevel="0" collapsed="false">
      <c r="A20" s="4" t="s">
        <v>23</v>
      </c>
      <c r="B20" s="7" t="n">
        <f aca="false">COUNTIF('DAG Inventory'!D4:D59,"Cascading Delay")</f>
        <v>7</v>
      </c>
      <c r="C20" s="8" t="s">
        <v>24</v>
      </c>
    </row>
    <row r="21" customFormat="false" ht="23.85" hidden="false" customHeight="false" outlineLevel="0" collapsed="false">
      <c r="A21" s="4" t="s">
        <v>25</v>
      </c>
      <c r="B21" s="7" t="n">
        <f aca="false">COUNTIF('DAG Inventory'!D4:D59,"Retry Storm")</f>
        <v>7</v>
      </c>
      <c r="C21" s="8" t="s">
        <v>26</v>
      </c>
    </row>
    <row r="22" customFormat="false" ht="23.85" hidden="false" customHeight="false" outlineLevel="0" collapsed="false">
      <c r="A22" s="4" t="s">
        <v>27</v>
      </c>
      <c r="B22" s="7" t="n">
        <f aca="false">COUNTIF('DAG Inventory'!D4:D59,"Queue Congestion")</f>
        <v>7</v>
      </c>
      <c r="C22" s="8" t="s">
        <v>28</v>
      </c>
    </row>
    <row r="23" customFormat="false" ht="23.85" hidden="false" customHeight="false" outlineLevel="0" collapsed="false">
      <c r="A23" s="4" t="s">
        <v>29</v>
      </c>
      <c r="B23" s="7" t="n">
        <f aca="false">COUNTIF('DAG Inventory'!D4:D59,"Resource Exhaustion")</f>
        <v>7</v>
      </c>
      <c r="C23" s="8" t="s">
        <v>30</v>
      </c>
    </row>
    <row r="26" customFormat="false" ht="15" hidden="false" customHeight="false" outlineLevel="0" collapsed="false">
      <c r="A26" s="3" t="s">
        <v>31</v>
      </c>
    </row>
    <row r="27" customFormat="false" ht="27.75" hidden="false" customHeight="true" outlineLevel="0" collapsed="false">
      <c r="A27" s="9" t="s">
        <v>32</v>
      </c>
      <c r="B27" s="9"/>
      <c r="C27" s="9"/>
      <c r="D27" s="9"/>
      <c r="E27" s="9"/>
      <c r="F27" s="9"/>
    </row>
    <row r="28" customFormat="false" ht="27.75" hidden="false" customHeight="true" outlineLevel="0" collapsed="false">
      <c r="A28" s="9" t="s">
        <v>33</v>
      </c>
      <c r="B28" s="9"/>
      <c r="C28" s="9"/>
      <c r="D28" s="9"/>
      <c r="E28" s="9"/>
      <c r="F28" s="9"/>
    </row>
    <row r="29" customFormat="false" ht="27.75" hidden="false" customHeight="true" outlineLevel="0" collapsed="false">
      <c r="A29" s="9" t="s">
        <v>34</v>
      </c>
      <c r="B29" s="9"/>
      <c r="C29" s="9"/>
      <c r="D29" s="9"/>
      <c r="E29" s="9"/>
      <c r="F29" s="9"/>
    </row>
    <row r="30" customFormat="false" ht="27.75" hidden="false" customHeight="true" outlineLevel="0" collapsed="false">
      <c r="A30" s="9" t="s">
        <v>35</v>
      </c>
      <c r="B30" s="9"/>
      <c r="C30" s="9"/>
      <c r="D30" s="9"/>
      <c r="E30" s="9"/>
      <c r="F30" s="9"/>
    </row>
    <row r="31" customFormat="false" ht="27.75" hidden="false" customHeight="true" outlineLevel="0" collapsed="false">
      <c r="A31" s="9" t="s">
        <v>36</v>
      </c>
      <c r="B31" s="9"/>
      <c r="C31" s="9"/>
      <c r="D31" s="9"/>
      <c r="E31" s="9"/>
      <c r="F31" s="9"/>
    </row>
  </sheetData>
  <mergeCells count="7">
    <mergeCell ref="A1:F1"/>
    <mergeCell ref="A2:F2"/>
    <mergeCell ref="A27:F27"/>
    <mergeCell ref="A28:F28"/>
    <mergeCell ref="A29:F29"/>
    <mergeCell ref="A30:F30"/>
    <mergeCell ref="A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2"/>
    <col collapsed="false" customWidth="true" hidden="false" outlineLevel="0" max="3" min="3" style="0" width="16"/>
    <col collapsed="false" customWidth="true" hidden="false" outlineLevel="0" max="4" min="4" style="0" width="26"/>
    <col collapsed="false" customWidth="true" hidden="false" outlineLevel="0" max="5" min="5" style="0" width="14"/>
    <col collapsed="false" customWidth="true" hidden="false" outlineLevel="0" max="6" min="6" style="0" width="10"/>
    <col collapsed="false" customWidth="true" hidden="false" outlineLevel="0" max="7" min="7" style="0" width="9"/>
    <col collapsed="false" customWidth="true" hidden="false" outlineLevel="0" max="8" min="8" style="0" width="11"/>
    <col collapsed="false" customWidth="true" hidden="false" outlineLevel="0" max="9" min="9" style="0" width="30"/>
    <col collapsed="false" customWidth="true" hidden="false" outlineLevel="0" max="10" min="10" style="0" width="26"/>
  </cols>
  <sheetData>
    <row r="1" customFormat="false" ht="21.75" hidden="false" customHeight="true" outlineLevel="0" collapsed="false">
      <c r="A1" s="10" t="s">
        <v>37</v>
      </c>
      <c r="B1" s="10"/>
      <c r="C1" s="10"/>
      <c r="D1" s="10"/>
      <c r="E1" s="10"/>
      <c r="F1" s="10"/>
      <c r="G1" s="10"/>
      <c r="H1" s="10"/>
      <c r="I1" s="10"/>
      <c r="J1" s="10"/>
    </row>
    <row r="3" customFormat="false" ht="30" hidden="false" customHeight="true" outlineLevel="0" collapsed="false">
      <c r="A3" s="11" t="s">
        <v>38</v>
      </c>
      <c r="B3" s="11" t="s">
        <v>39</v>
      </c>
      <c r="C3" s="11" t="s">
        <v>40</v>
      </c>
      <c r="D3" s="11" t="s">
        <v>41</v>
      </c>
      <c r="E3" s="11" t="s">
        <v>42</v>
      </c>
      <c r="F3" s="11" t="s">
        <v>43</v>
      </c>
      <c r="G3" s="11" t="s">
        <v>44</v>
      </c>
      <c r="H3" s="11" t="s">
        <v>45</v>
      </c>
      <c r="I3" s="11" t="s">
        <v>46</v>
      </c>
      <c r="J3" s="11" t="s">
        <v>47</v>
      </c>
    </row>
    <row r="4" customFormat="false" ht="30" hidden="false" customHeight="true" outlineLevel="0" collapsed="false">
      <c r="A4" s="12" t="s">
        <v>48</v>
      </c>
      <c r="B4" s="13" t="s">
        <v>49</v>
      </c>
      <c r="C4" s="12" t="s">
        <v>50</v>
      </c>
      <c r="D4" s="12" t="s">
        <v>15</v>
      </c>
      <c r="E4" s="12" t="s">
        <v>51</v>
      </c>
      <c r="F4" s="12" t="s">
        <v>52</v>
      </c>
      <c r="G4" s="14" t="s">
        <v>53</v>
      </c>
      <c r="H4" s="12" t="s">
        <v>54</v>
      </c>
      <c r="I4" s="13" t="s">
        <v>55</v>
      </c>
      <c r="J4" s="13" t="s">
        <v>56</v>
      </c>
    </row>
    <row r="5" customFormat="false" ht="30" hidden="false" customHeight="true" outlineLevel="0" collapsed="false">
      <c r="A5" s="12" t="s">
        <v>57</v>
      </c>
      <c r="B5" s="13" t="s">
        <v>58</v>
      </c>
      <c r="C5" s="12" t="s">
        <v>59</v>
      </c>
      <c r="D5" s="12" t="s">
        <v>15</v>
      </c>
      <c r="E5" s="12" t="s">
        <v>60</v>
      </c>
      <c r="F5" s="12" t="s">
        <v>61</v>
      </c>
      <c r="G5" s="14" t="s">
        <v>53</v>
      </c>
      <c r="H5" s="12" t="s">
        <v>54</v>
      </c>
      <c r="I5" s="13" t="s">
        <v>62</v>
      </c>
      <c r="J5" s="13" t="s">
        <v>63</v>
      </c>
    </row>
    <row r="6" customFormat="false" ht="30" hidden="false" customHeight="true" outlineLevel="0" collapsed="false">
      <c r="A6" s="12" t="s">
        <v>64</v>
      </c>
      <c r="B6" s="13" t="s">
        <v>65</v>
      </c>
      <c r="C6" s="12" t="s">
        <v>66</v>
      </c>
      <c r="D6" s="12" t="s">
        <v>15</v>
      </c>
      <c r="E6" s="12" t="s">
        <v>67</v>
      </c>
      <c r="F6" s="12" t="s">
        <v>52</v>
      </c>
      <c r="G6" s="15" t="s">
        <v>68</v>
      </c>
      <c r="H6" s="12" t="s">
        <v>69</v>
      </c>
      <c r="I6" s="13" t="s">
        <v>70</v>
      </c>
      <c r="J6" s="13" t="s">
        <v>71</v>
      </c>
    </row>
    <row r="7" customFormat="false" ht="30" hidden="false" customHeight="true" outlineLevel="0" collapsed="false">
      <c r="A7" s="12" t="s">
        <v>72</v>
      </c>
      <c r="B7" s="13" t="s">
        <v>73</v>
      </c>
      <c r="C7" s="12" t="s">
        <v>74</v>
      </c>
      <c r="D7" s="12" t="s">
        <v>15</v>
      </c>
      <c r="E7" s="12" t="s">
        <v>75</v>
      </c>
      <c r="F7" s="12" t="s">
        <v>76</v>
      </c>
      <c r="G7" s="16" t="s">
        <v>77</v>
      </c>
      <c r="H7" s="12" t="s">
        <v>78</v>
      </c>
      <c r="I7" s="13" t="s">
        <v>79</v>
      </c>
      <c r="J7" s="13" t="s">
        <v>80</v>
      </c>
    </row>
    <row r="8" customFormat="false" ht="30" hidden="false" customHeight="true" outlineLevel="0" collapsed="false">
      <c r="A8" s="12" t="s">
        <v>81</v>
      </c>
      <c r="B8" s="13" t="s">
        <v>82</v>
      </c>
      <c r="C8" s="12" t="s">
        <v>83</v>
      </c>
      <c r="D8" s="12" t="s">
        <v>15</v>
      </c>
      <c r="E8" s="12" t="s">
        <v>84</v>
      </c>
      <c r="F8" s="12" t="s">
        <v>85</v>
      </c>
      <c r="G8" s="16" t="s">
        <v>77</v>
      </c>
      <c r="H8" s="12" t="s">
        <v>78</v>
      </c>
      <c r="I8" s="13" t="s">
        <v>86</v>
      </c>
      <c r="J8" s="13" t="s">
        <v>87</v>
      </c>
    </row>
    <row r="9" customFormat="false" ht="30" hidden="false" customHeight="true" outlineLevel="0" collapsed="false">
      <c r="A9" s="12" t="s">
        <v>88</v>
      </c>
      <c r="B9" s="13" t="s">
        <v>89</v>
      </c>
      <c r="C9" s="12" t="s">
        <v>90</v>
      </c>
      <c r="D9" s="12" t="s">
        <v>15</v>
      </c>
      <c r="E9" s="12" t="s">
        <v>91</v>
      </c>
      <c r="F9" s="12" t="s">
        <v>92</v>
      </c>
      <c r="G9" s="16" t="s">
        <v>77</v>
      </c>
      <c r="H9" s="12" t="s">
        <v>93</v>
      </c>
      <c r="I9" s="13" t="s">
        <v>94</v>
      </c>
      <c r="J9" s="13" t="s">
        <v>95</v>
      </c>
    </row>
    <row r="10" customFormat="false" ht="30" hidden="false" customHeight="true" outlineLevel="0" collapsed="false">
      <c r="A10" s="12" t="s">
        <v>96</v>
      </c>
      <c r="B10" s="13" t="s">
        <v>97</v>
      </c>
      <c r="C10" s="12" t="s">
        <v>98</v>
      </c>
      <c r="D10" s="12" t="s">
        <v>15</v>
      </c>
      <c r="E10" s="12" t="s">
        <v>99</v>
      </c>
      <c r="F10" s="12" t="s">
        <v>61</v>
      </c>
      <c r="G10" s="14" t="s">
        <v>53</v>
      </c>
      <c r="H10" s="12" t="s">
        <v>78</v>
      </c>
      <c r="I10" s="13" t="s">
        <v>100</v>
      </c>
      <c r="J10" s="13" t="s">
        <v>101</v>
      </c>
    </row>
    <row r="11" customFormat="false" ht="30" hidden="false" customHeight="true" outlineLevel="0" collapsed="false">
      <c r="A11" s="12" t="s">
        <v>102</v>
      </c>
      <c r="B11" s="13" t="s">
        <v>103</v>
      </c>
      <c r="C11" s="12" t="s">
        <v>104</v>
      </c>
      <c r="D11" s="12" t="s">
        <v>17</v>
      </c>
      <c r="E11" s="12" t="s">
        <v>105</v>
      </c>
      <c r="F11" s="12" t="s">
        <v>106</v>
      </c>
      <c r="G11" s="15" t="s">
        <v>68</v>
      </c>
      <c r="H11" s="12" t="s">
        <v>69</v>
      </c>
      <c r="I11" s="13" t="s">
        <v>107</v>
      </c>
      <c r="J11" s="13" t="s">
        <v>108</v>
      </c>
    </row>
    <row r="12" customFormat="false" ht="30" hidden="false" customHeight="true" outlineLevel="0" collapsed="false">
      <c r="A12" s="12" t="s">
        <v>109</v>
      </c>
      <c r="B12" s="13" t="s">
        <v>110</v>
      </c>
      <c r="C12" s="12" t="s">
        <v>111</v>
      </c>
      <c r="D12" s="12" t="s">
        <v>17</v>
      </c>
      <c r="E12" s="12" t="s">
        <v>51</v>
      </c>
      <c r="F12" s="12" t="s">
        <v>112</v>
      </c>
      <c r="G12" s="15" t="s">
        <v>68</v>
      </c>
      <c r="H12" s="12" t="s">
        <v>54</v>
      </c>
      <c r="I12" s="13" t="s">
        <v>113</v>
      </c>
      <c r="J12" s="13" t="s">
        <v>114</v>
      </c>
    </row>
    <row r="13" customFormat="false" ht="30" hidden="false" customHeight="true" outlineLevel="0" collapsed="false">
      <c r="A13" s="12" t="s">
        <v>115</v>
      </c>
      <c r="B13" s="13" t="s">
        <v>116</v>
      </c>
      <c r="C13" s="12" t="s">
        <v>117</v>
      </c>
      <c r="D13" s="12" t="s">
        <v>17</v>
      </c>
      <c r="E13" s="12" t="s">
        <v>118</v>
      </c>
      <c r="F13" s="12" t="s">
        <v>119</v>
      </c>
      <c r="G13" s="15" t="s">
        <v>68</v>
      </c>
      <c r="H13" s="12" t="s">
        <v>69</v>
      </c>
      <c r="I13" s="13" t="s">
        <v>120</v>
      </c>
      <c r="J13" s="13" t="s">
        <v>121</v>
      </c>
    </row>
    <row r="14" customFormat="false" ht="30" hidden="false" customHeight="true" outlineLevel="0" collapsed="false">
      <c r="A14" s="12" t="s">
        <v>122</v>
      </c>
      <c r="B14" s="13" t="s">
        <v>123</v>
      </c>
      <c r="C14" s="12" t="s">
        <v>124</v>
      </c>
      <c r="D14" s="12" t="s">
        <v>17</v>
      </c>
      <c r="E14" s="12" t="s">
        <v>99</v>
      </c>
      <c r="F14" s="12" t="s">
        <v>112</v>
      </c>
      <c r="G14" s="14" t="s">
        <v>53</v>
      </c>
      <c r="H14" s="12" t="s">
        <v>54</v>
      </c>
      <c r="I14" s="13" t="s">
        <v>125</v>
      </c>
      <c r="J14" s="13" t="s">
        <v>126</v>
      </c>
    </row>
    <row r="15" customFormat="false" ht="30" hidden="false" customHeight="true" outlineLevel="0" collapsed="false">
      <c r="A15" s="12" t="s">
        <v>127</v>
      </c>
      <c r="B15" s="13" t="s">
        <v>128</v>
      </c>
      <c r="C15" s="12" t="s">
        <v>129</v>
      </c>
      <c r="D15" s="12" t="s">
        <v>17</v>
      </c>
      <c r="E15" s="12" t="s">
        <v>67</v>
      </c>
      <c r="F15" s="12" t="s">
        <v>130</v>
      </c>
      <c r="G15" s="14" t="s">
        <v>53</v>
      </c>
      <c r="H15" s="12" t="s">
        <v>54</v>
      </c>
      <c r="I15" s="13" t="s">
        <v>131</v>
      </c>
      <c r="J15" s="13" t="s">
        <v>132</v>
      </c>
    </row>
    <row r="16" customFormat="false" ht="30" hidden="false" customHeight="true" outlineLevel="0" collapsed="false">
      <c r="A16" s="12" t="s">
        <v>133</v>
      </c>
      <c r="B16" s="13" t="s">
        <v>134</v>
      </c>
      <c r="C16" s="12" t="s">
        <v>135</v>
      </c>
      <c r="D16" s="12" t="s">
        <v>17</v>
      </c>
      <c r="E16" s="12" t="s">
        <v>136</v>
      </c>
      <c r="F16" s="12" t="s">
        <v>137</v>
      </c>
      <c r="G16" s="14" t="s">
        <v>53</v>
      </c>
      <c r="H16" s="12" t="s">
        <v>54</v>
      </c>
      <c r="I16" s="13" t="s">
        <v>138</v>
      </c>
      <c r="J16" s="13" t="s">
        <v>139</v>
      </c>
    </row>
    <row r="17" customFormat="false" ht="30" hidden="false" customHeight="true" outlineLevel="0" collapsed="false">
      <c r="A17" s="12" t="s">
        <v>140</v>
      </c>
      <c r="B17" s="13" t="s">
        <v>141</v>
      </c>
      <c r="C17" s="12" t="s">
        <v>142</v>
      </c>
      <c r="D17" s="12" t="s">
        <v>17</v>
      </c>
      <c r="E17" s="12" t="s">
        <v>143</v>
      </c>
      <c r="F17" s="12" t="s">
        <v>144</v>
      </c>
      <c r="G17" s="15" t="s">
        <v>68</v>
      </c>
      <c r="H17" s="12" t="s">
        <v>69</v>
      </c>
      <c r="I17" s="13" t="s">
        <v>145</v>
      </c>
      <c r="J17" s="13" t="s">
        <v>146</v>
      </c>
    </row>
    <row r="18" customFormat="false" ht="30" hidden="false" customHeight="true" outlineLevel="0" collapsed="false">
      <c r="A18" s="12" t="s">
        <v>147</v>
      </c>
      <c r="B18" s="13" t="s">
        <v>148</v>
      </c>
      <c r="C18" s="12" t="s">
        <v>149</v>
      </c>
      <c r="D18" s="12" t="s">
        <v>19</v>
      </c>
      <c r="E18" s="12" t="s">
        <v>84</v>
      </c>
      <c r="F18" s="12" t="s">
        <v>61</v>
      </c>
      <c r="G18" s="15" t="s">
        <v>68</v>
      </c>
      <c r="H18" s="12" t="s">
        <v>69</v>
      </c>
      <c r="I18" s="13" t="s">
        <v>150</v>
      </c>
      <c r="J18" s="13" t="s">
        <v>151</v>
      </c>
    </row>
    <row r="19" customFormat="false" ht="30" hidden="false" customHeight="true" outlineLevel="0" collapsed="false">
      <c r="A19" s="12" t="s">
        <v>152</v>
      </c>
      <c r="B19" s="13" t="s">
        <v>153</v>
      </c>
      <c r="C19" s="12" t="s">
        <v>50</v>
      </c>
      <c r="D19" s="12" t="s">
        <v>19</v>
      </c>
      <c r="E19" s="12" t="s">
        <v>51</v>
      </c>
      <c r="F19" s="12" t="s">
        <v>52</v>
      </c>
      <c r="G19" s="15" t="s">
        <v>68</v>
      </c>
      <c r="H19" s="12" t="s">
        <v>69</v>
      </c>
      <c r="I19" s="13" t="s">
        <v>55</v>
      </c>
      <c r="J19" s="13" t="s">
        <v>56</v>
      </c>
    </row>
    <row r="20" customFormat="false" ht="30" hidden="false" customHeight="true" outlineLevel="0" collapsed="false">
      <c r="A20" s="12" t="s">
        <v>154</v>
      </c>
      <c r="B20" s="13" t="s">
        <v>155</v>
      </c>
      <c r="C20" s="12" t="s">
        <v>59</v>
      </c>
      <c r="D20" s="12" t="s">
        <v>19</v>
      </c>
      <c r="E20" s="12" t="s">
        <v>156</v>
      </c>
      <c r="F20" s="12" t="s">
        <v>119</v>
      </c>
      <c r="G20" s="14" t="s">
        <v>53</v>
      </c>
      <c r="H20" s="12" t="s">
        <v>54</v>
      </c>
      <c r="I20" s="13" t="s">
        <v>62</v>
      </c>
      <c r="J20" s="13" t="s">
        <v>63</v>
      </c>
    </row>
    <row r="21" customFormat="false" ht="30" hidden="false" customHeight="true" outlineLevel="0" collapsed="false">
      <c r="A21" s="12" t="s">
        <v>157</v>
      </c>
      <c r="B21" s="13" t="s">
        <v>158</v>
      </c>
      <c r="C21" s="12" t="s">
        <v>66</v>
      </c>
      <c r="D21" s="12" t="s">
        <v>19</v>
      </c>
      <c r="E21" s="12" t="s">
        <v>159</v>
      </c>
      <c r="F21" s="12" t="s">
        <v>160</v>
      </c>
      <c r="G21" s="15" t="s">
        <v>68</v>
      </c>
      <c r="H21" s="12" t="s">
        <v>69</v>
      </c>
      <c r="I21" s="13" t="s">
        <v>70</v>
      </c>
      <c r="J21" s="13" t="s">
        <v>71</v>
      </c>
    </row>
    <row r="22" customFormat="false" ht="30" hidden="false" customHeight="true" outlineLevel="0" collapsed="false">
      <c r="A22" s="12" t="s">
        <v>161</v>
      </c>
      <c r="B22" s="13" t="s">
        <v>162</v>
      </c>
      <c r="C22" s="12" t="s">
        <v>74</v>
      </c>
      <c r="D22" s="12" t="s">
        <v>19</v>
      </c>
      <c r="E22" s="12" t="s">
        <v>163</v>
      </c>
      <c r="F22" s="12" t="s">
        <v>52</v>
      </c>
      <c r="G22" s="15" t="s">
        <v>68</v>
      </c>
      <c r="H22" s="12" t="s">
        <v>69</v>
      </c>
      <c r="I22" s="13" t="s">
        <v>79</v>
      </c>
      <c r="J22" s="13" t="s">
        <v>80</v>
      </c>
    </row>
    <row r="23" customFormat="false" ht="30" hidden="false" customHeight="true" outlineLevel="0" collapsed="false">
      <c r="A23" s="12" t="s">
        <v>164</v>
      </c>
      <c r="B23" s="13" t="s">
        <v>165</v>
      </c>
      <c r="C23" s="12" t="s">
        <v>83</v>
      </c>
      <c r="D23" s="12" t="s">
        <v>19</v>
      </c>
      <c r="E23" s="12" t="s">
        <v>84</v>
      </c>
      <c r="F23" s="12" t="s">
        <v>166</v>
      </c>
      <c r="G23" s="14" t="s">
        <v>53</v>
      </c>
      <c r="H23" s="12" t="s">
        <v>54</v>
      </c>
      <c r="I23" s="13" t="s">
        <v>86</v>
      </c>
      <c r="J23" s="13" t="s">
        <v>87</v>
      </c>
    </row>
    <row r="24" customFormat="false" ht="30" hidden="false" customHeight="true" outlineLevel="0" collapsed="false">
      <c r="A24" s="12" t="s">
        <v>167</v>
      </c>
      <c r="B24" s="13" t="s">
        <v>168</v>
      </c>
      <c r="C24" s="12" t="s">
        <v>90</v>
      </c>
      <c r="D24" s="12" t="s">
        <v>19</v>
      </c>
      <c r="E24" s="12" t="s">
        <v>169</v>
      </c>
      <c r="F24" s="12" t="s">
        <v>170</v>
      </c>
      <c r="G24" s="15" t="s">
        <v>68</v>
      </c>
      <c r="H24" s="12" t="s">
        <v>54</v>
      </c>
      <c r="I24" s="13" t="s">
        <v>94</v>
      </c>
      <c r="J24" s="13" t="s">
        <v>95</v>
      </c>
    </row>
    <row r="25" customFormat="false" ht="30" hidden="false" customHeight="true" outlineLevel="0" collapsed="false">
      <c r="A25" s="12" t="s">
        <v>171</v>
      </c>
      <c r="B25" s="13" t="s">
        <v>172</v>
      </c>
      <c r="C25" s="12" t="s">
        <v>98</v>
      </c>
      <c r="D25" s="12" t="s">
        <v>21</v>
      </c>
      <c r="E25" s="12" t="s">
        <v>156</v>
      </c>
      <c r="F25" s="12" t="s">
        <v>52</v>
      </c>
      <c r="G25" s="15" t="s">
        <v>68</v>
      </c>
      <c r="H25" s="12" t="s">
        <v>69</v>
      </c>
      <c r="I25" s="13" t="s">
        <v>100</v>
      </c>
      <c r="J25" s="13" t="s">
        <v>101</v>
      </c>
    </row>
    <row r="26" customFormat="false" ht="30" hidden="false" customHeight="true" outlineLevel="0" collapsed="false">
      <c r="A26" s="12" t="s">
        <v>173</v>
      </c>
      <c r="B26" s="13" t="s">
        <v>174</v>
      </c>
      <c r="C26" s="12" t="s">
        <v>104</v>
      </c>
      <c r="D26" s="12" t="s">
        <v>21</v>
      </c>
      <c r="E26" s="12" t="s">
        <v>175</v>
      </c>
      <c r="F26" s="12" t="s">
        <v>137</v>
      </c>
      <c r="G26" s="15" t="s">
        <v>68</v>
      </c>
      <c r="H26" s="12" t="s">
        <v>69</v>
      </c>
      <c r="I26" s="13" t="s">
        <v>107</v>
      </c>
      <c r="J26" s="13" t="s">
        <v>108</v>
      </c>
    </row>
    <row r="27" customFormat="false" ht="30" hidden="false" customHeight="true" outlineLevel="0" collapsed="false">
      <c r="A27" s="12" t="s">
        <v>176</v>
      </c>
      <c r="B27" s="13" t="s">
        <v>177</v>
      </c>
      <c r="C27" s="12" t="s">
        <v>111</v>
      </c>
      <c r="D27" s="12" t="s">
        <v>21</v>
      </c>
      <c r="E27" s="12" t="s">
        <v>178</v>
      </c>
      <c r="F27" s="12" t="s">
        <v>112</v>
      </c>
      <c r="G27" s="14" t="s">
        <v>53</v>
      </c>
      <c r="H27" s="12" t="s">
        <v>54</v>
      </c>
      <c r="I27" s="13" t="s">
        <v>113</v>
      </c>
      <c r="J27" s="13" t="s">
        <v>114</v>
      </c>
    </row>
    <row r="28" customFormat="false" ht="30" hidden="false" customHeight="true" outlineLevel="0" collapsed="false">
      <c r="A28" s="12" t="s">
        <v>179</v>
      </c>
      <c r="B28" s="13" t="s">
        <v>180</v>
      </c>
      <c r="C28" s="12" t="s">
        <v>117</v>
      </c>
      <c r="D28" s="12" t="s">
        <v>21</v>
      </c>
      <c r="E28" s="12" t="s">
        <v>181</v>
      </c>
      <c r="F28" s="12" t="s">
        <v>106</v>
      </c>
      <c r="G28" s="15" t="s">
        <v>68</v>
      </c>
      <c r="H28" s="12" t="s">
        <v>69</v>
      </c>
      <c r="I28" s="13" t="s">
        <v>120</v>
      </c>
      <c r="J28" s="13" t="s">
        <v>121</v>
      </c>
    </row>
    <row r="29" customFormat="false" ht="30" hidden="false" customHeight="true" outlineLevel="0" collapsed="false">
      <c r="A29" s="12" t="s">
        <v>182</v>
      </c>
      <c r="B29" s="13" t="s">
        <v>183</v>
      </c>
      <c r="C29" s="12" t="s">
        <v>124</v>
      </c>
      <c r="D29" s="12" t="s">
        <v>21</v>
      </c>
      <c r="E29" s="12" t="s">
        <v>184</v>
      </c>
      <c r="F29" s="12" t="s">
        <v>112</v>
      </c>
      <c r="G29" s="14" t="s">
        <v>53</v>
      </c>
      <c r="H29" s="12" t="s">
        <v>54</v>
      </c>
      <c r="I29" s="13" t="s">
        <v>125</v>
      </c>
      <c r="J29" s="13" t="s">
        <v>126</v>
      </c>
    </row>
    <row r="30" customFormat="false" ht="30" hidden="false" customHeight="true" outlineLevel="0" collapsed="false">
      <c r="A30" s="12" t="s">
        <v>185</v>
      </c>
      <c r="B30" s="13" t="s">
        <v>186</v>
      </c>
      <c r="C30" s="12" t="s">
        <v>129</v>
      </c>
      <c r="D30" s="12" t="s">
        <v>21</v>
      </c>
      <c r="E30" s="12" t="s">
        <v>187</v>
      </c>
      <c r="F30" s="12" t="s">
        <v>188</v>
      </c>
      <c r="G30" s="14" t="s">
        <v>53</v>
      </c>
      <c r="H30" s="12" t="s">
        <v>54</v>
      </c>
      <c r="I30" s="13" t="s">
        <v>131</v>
      </c>
      <c r="J30" s="13" t="s">
        <v>132</v>
      </c>
    </row>
    <row r="31" customFormat="false" ht="30" hidden="false" customHeight="true" outlineLevel="0" collapsed="false">
      <c r="A31" s="12" t="s">
        <v>189</v>
      </c>
      <c r="B31" s="13" t="s">
        <v>190</v>
      </c>
      <c r="C31" s="12" t="s">
        <v>135</v>
      </c>
      <c r="D31" s="12" t="s">
        <v>21</v>
      </c>
      <c r="E31" s="12" t="s">
        <v>99</v>
      </c>
      <c r="F31" s="12" t="s">
        <v>130</v>
      </c>
      <c r="G31" s="15" t="s">
        <v>68</v>
      </c>
      <c r="H31" s="12" t="s">
        <v>69</v>
      </c>
      <c r="I31" s="13" t="s">
        <v>138</v>
      </c>
      <c r="J31" s="13" t="s">
        <v>139</v>
      </c>
    </row>
    <row r="32" customFormat="false" ht="30" hidden="false" customHeight="true" outlineLevel="0" collapsed="false">
      <c r="A32" s="12" t="s">
        <v>191</v>
      </c>
      <c r="B32" s="13" t="s">
        <v>192</v>
      </c>
      <c r="C32" s="12" t="s">
        <v>142</v>
      </c>
      <c r="D32" s="12" t="s">
        <v>23</v>
      </c>
      <c r="E32" s="12" t="s">
        <v>193</v>
      </c>
      <c r="F32" s="12" t="s">
        <v>194</v>
      </c>
      <c r="G32" s="15" t="s">
        <v>68</v>
      </c>
      <c r="H32" s="12" t="s">
        <v>69</v>
      </c>
      <c r="I32" s="13" t="s">
        <v>145</v>
      </c>
      <c r="J32" s="13" t="s">
        <v>146</v>
      </c>
    </row>
    <row r="33" customFormat="false" ht="30" hidden="false" customHeight="true" outlineLevel="0" collapsed="false">
      <c r="A33" s="12" t="s">
        <v>195</v>
      </c>
      <c r="B33" s="13" t="s">
        <v>196</v>
      </c>
      <c r="C33" s="12" t="s">
        <v>149</v>
      </c>
      <c r="D33" s="12" t="s">
        <v>23</v>
      </c>
      <c r="E33" s="12" t="s">
        <v>99</v>
      </c>
      <c r="F33" s="12" t="s">
        <v>197</v>
      </c>
      <c r="G33" s="15" t="s">
        <v>68</v>
      </c>
      <c r="H33" s="12" t="s">
        <v>69</v>
      </c>
      <c r="I33" s="13" t="s">
        <v>150</v>
      </c>
      <c r="J33" s="13" t="s">
        <v>151</v>
      </c>
    </row>
    <row r="34" customFormat="false" ht="30" hidden="false" customHeight="true" outlineLevel="0" collapsed="false">
      <c r="A34" s="12" t="s">
        <v>198</v>
      </c>
      <c r="B34" s="13" t="s">
        <v>199</v>
      </c>
      <c r="C34" s="12" t="s">
        <v>50</v>
      </c>
      <c r="D34" s="12" t="s">
        <v>23</v>
      </c>
      <c r="E34" s="12" t="s">
        <v>187</v>
      </c>
      <c r="F34" s="12" t="s">
        <v>200</v>
      </c>
      <c r="G34" s="14" t="s">
        <v>53</v>
      </c>
      <c r="H34" s="12" t="s">
        <v>54</v>
      </c>
      <c r="I34" s="13" t="s">
        <v>55</v>
      </c>
      <c r="J34" s="13" t="s">
        <v>56</v>
      </c>
    </row>
    <row r="35" customFormat="false" ht="30" hidden="false" customHeight="true" outlineLevel="0" collapsed="false">
      <c r="A35" s="12" t="s">
        <v>201</v>
      </c>
      <c r="B35" s="13" t="s">
        <v>202</v>
      </c>
      <c r="C35" s="12" t="s">
        <v>59</v>
      </c>
      <c r="D35" s="12" t="s">
        <v>23</v>
      </c>
      <c r="E35" s="12" t="s">
        <v>203</v>
      </c>
      <c r="F35" s="12" t="s">
        <v>204</v>
      </c>
      <c r="G35" s="14" t="s">
        <v>53</v>
      </c>
      <c r="H35" s="12" t="s">
        <v>54</v>
      </c>
      <c r="I35" s="13" t="s">
        <v>62</v>
      </c>
      <c r="J35" s="13" t="s">
        <v>63</v>
      </c>
    </row>
    <row r="36" customFormat="false" ht="30" hidden="false" customHeight="true" outlineLevel="0" collapsed="false">
      <c r="A36" s="12" t="s">
        <v>205</v>
      </c>
      <c r="B36" s="13" t="s">
        <v>206</v>
      </c>
      <c r="C36" s="12" t="s">
        <v>66</v>
      </c>
      <c r="D36" s="12" t="s">
        <v>23</v>
      </c>
      <c r="E36" s="12" t="s">
        <v>207</v>
      </c>
      <c r="F36" s="12" t="s">
        <v>204</v>
      </c>
      <c r="G36" s="14" t="s">
        <v>53</v>
      </c>
      <c r="H36" s="12" t="s">
        <v>54</v>
      </c>
      <c r="I36" s="13" t="s">
        <v>70</v>
      </c>
      <c r="J36" s="13" t="s">
        <v>71</v>
      </c>
    </row>
    <row r="37" customFormat="false" ht="30" hidden="false" customHeight="true" outlineLevel="0" collapsed="false">
      <c r="A37" s="12" t="s">
        <v>208</v>
      </c>
      <c r="B37" s="13" t="s">
        <v>209</v>
      </c>
      <c r="C37" s="12" t="s">
        <v>74</v>
      </c>
      <c r="D37" s="12" t="s">
        <v>23</v>
      </c>
      <c r="E37" s="12" t="s">
        <v>210</v>
      </c>
      <c r="F37" s="12" t="s">
        <v>197</v>
      </c>
      <c r="G37" s="15" t="s">
        <v>68</v>
      </c>
      <c r="H37" s="12" t="s">
        <v>69</v>
      </c>
      <c r="I37" s="13" t="s">
        <v>79</v>
      </c>
      <c r="J37" s="13" t="s">
        <v>80</v>
      </c>
    </row>
    <row r="38" customFormat="false" ht="30" hidden="false" customHeight="true" outlineLevel="0" collapsed="false">
      <c r="A38" s="12" t="s">
        <v>211</v>
      </c>
      <c r="B38" s="13" t="s">
        <v>212</v>
      </c>
      <c r="C38" s="12" t="s">
        <v>83</v>
      </c>
      <c r="D38" s="12" t="s">
        <v>23</v>
      </c>
      <c r="E38" s="12" t="s">
        <v>156</v>
      </c>
      <c r="F38" s="12" t="s">
        <v>194</v>
      </c>
      <c r="G38" s="14" t="s">
        <v>53</v>
      </c>
      <c r="H38" s="12" t="s">
        <v>78</v>
      </c>
      <c r="I38" s="13" t="s">
        <v>86</v>
      </c>
      <c r="J38" s="13" t="s">
        <v>87</v>
      </c>
    </row>
    <row r="39" customFormat="false" ht="30" hidden="false" customHeight="true" outlineLevel="0" collapsed="false">
      <c r="A39" s="12" t="s">
        <v>213</v>
      </c>
      <c r="B39" s="13" t="s">
        <v>214</v>
      </c>
      <c r="C39" s="12" t="s">
        <v>90</v>
      </c>
      <c r="D39" s="12" t="s">
        <v>25</v>
      </c>
      <c r="E39" s="12" t="s">
        <v>99</v>
      </c>
      <c r="F39" s="12" t="s">
        <v>112</v>
      </c>
      <c r="G39" s="15" t="s">
        <v>68</v>
      </c>
      <c r="H39" s="12" t="s">
        <v>69</v>
      </c>
      <c r="I39" s="13" t="s">
        <v>94</v>
      </c>
      <c r="J39" s="13" t="s">
        <v>95</v>
      </c>
    </row>
    <row r="40" customFormat="false" ht="30" hidden="false" customHeight="true" outlineLevel="0" collapsed="false">
      <c r="A40" s="12" t="s">
        <v>215</v>
      </c>
      <c r="B40" s="13" t="s">
        <v>216</v>
      </c>
      <c r="C40" s="12" t="s">
        <v>98</v>
      </c>
      <c r="D40" s="12" t="s">
        <v>25</v>
      </c>
      <c r="E40" s="12" t="s">
        <v>67</v>
      </c>
      <c r="F40" s="12" t="s">
        <v>188</v>
      </c>
      <c r="G40" s="15" t="s">
        <v>68</v>
      </c>
      <c r="H40" s="12" t="s">
        <v>69</v>
      </c>
      <c r="I40" s="13" t="s">
        <v>100</v>
      </c>
      <c r="J40" s="13" t="s">
        <v>101</v>
      </c>
    </row>
    <row r="41" customFormat="false" ht="30" hidden="false" customHeight="true" outlineLevel="0" collapsed="false">
      <c r="A41" s="12" t="s">
        <v>217</v>
      </c>
      <c r="B41" s="13" t="s">
        <v>218</v>
      </c>
      <c r="C41" s="12" t="s">
        <v>104</v>
      </c>
      <c r="D41" s="12" t="s">
        <v>25</v>
      </c>
      <c r="E41" s="12" t="s">
        <v>219</v>
      </c>
      <c r="F41" s="12" t="s">
        <v>220</v>
      </c>
      <c r="G41" s="15" t="s">
        <v>68</v>
      </c>
      <c r="H41" s="12" t="s">
        <v>69</v>
      </c>
      <c r="I41" s="13" t="s">
        <v>107</v>
      </c>
      <c r="J41" s="13" t="s">
        <v>108</v>
      </c>
    </row>
    <row r="42" customFormat="false" ht="30" hidden="false" customHeight="true" outlineLevel="0" collapsed="false">
      <c r="A42" s="12" t="s">
        <v>221</v>
      </c>
      <c r="B42" s="13" t="s">
        <v>222</v>
      </c>
      <c r="C42" s="12" t="s">
        <v>111</v>
      </c>
      <c r="D42" s="12" t="s">
        <v>25</v>
      </c>
      <c r="E42" s="12" t="s">
        <v>169</v>
      </c>
      <c r="F42" s="12" t="s">
        <v>137</v>
      </c>
      <c r="G42" s="14" t="s">
        <v>53</v>
      </c>
      <c r="H42" s="12" t="s">
        <v>54</v>
      </c>
      <c r="I42" s="13" t="s">
        <v>113</v>
      </c>
      <c r="J42" s="13" t="s">
        <v>114</v>
      </c>
    </row>
    <row r="43" customFormat="false" ht="30" hidden="false" customHeight="true" outlineLevel="0" collapsed="false">
      <c r="A43" s="12" t="s">
        <v>223</v>
      </c>
      <c r="B43" s="13" t="s">
        <v>224</v>
      </c>
      <c r="C43" s="12" t="s">
        <v>117</v>
      </c>
      <c r="D43" s="12" t="s">
        <v>25</v>
      </c>
      <c r="E43" s="12" t="s">
        <v>225</v>
      </c>
      <c r="F43" s="12" t="s">
        <v>226</v>
      </c>
      <c r="G43" s="15" t="s">
        <v>68</v>
      </c>
      <c r="H43" s="12" t="s">
        <v>69</v>
      </c>
      <c r="I43" s="13" t="s">
        <v>120</v>
      </c>
      <c r="J43" s="13" t="s">
        <v>121</v>
      </c>
    </row>
    <row r="44" customFormat="false" ht="30" hidden="false" customHeight="true" outlineLevel="0" collapsed="false">
      <c r="A44" s="12" t="s">
        <v>227</v>
      </c>
      <c r="B44" s="13" t="s">
        <v>228</v>
      </c>
      <c r="C44" s="12" t="s">
        <v>124</v>
      </c>
      <c r="D44" s="12" t="s">
        <v>25</v>
      </c>
      <c r="E44" s="12" t="s">
        <v>75</v>
      </c>
      <c r="F44" s="12" t="s">
        <v>112</v>
      </c>
      <c r="G44" s="14" t="s">
        <v>53</v>
      </c>
      <c r="H44" s="12" t="s">
        <v>54</v>
      </c>
      <c r="I44" s="13" t="s">
        <v>125</v>
      </c>
      <c r="J44" s="13" t="s">
        <v>126</v>
      </c>
    </row>
    <row r="45" customFormat="false" ht="30" hidden="false" customHeight="true" outlineLevel="0" collapsed="false">
      <c r="A45" s="12" t="s">
        <v>229</v>
      </c>
      <c r="B45" s="13" t="s">
        <v>230</v>
      </c>
      <c r="C45" s="12" t="s">
        <v>129</v>
      </c>
      <c r="D45" s="12" t="s">
        <v>25</v>
      </c>
      <c r="E45" s="12" t="s">
        <v>156</v>
      </c>
      <c r="F45" s="12" t="s">
        <v>112</v>
      </c>
      <c r="G45" s="14" t="s">
        <v>53</v>
      </c>
      <c r="H45" s="12" t="s">
        <v>78</v>
      </c>
      <c r="I45" s="13" t="s">
        <v>131</v>
      </c>
      <c r="J45" s="13" t="s">
        <v>132</v>
      </c>
    </row>
    <row r="46" customFormat="false" ht="30" hidden="false" customHeight="true" outlineLevel="0" collapsed="false">
      <c r="A46" s="12" t="s">
        <v>231</v>
      </c>
      <c r="B46" s="13" t="s">
        <v>232</v>
      </c>
      <c r="C46" s="12" t="s">
        <v>135</v>
      </c>
      <c r="D46" s="12" t="s">
        <v>27</v>
      </c>
      <c r="E46" s="12" t="s">
        <v>233</v>
      </c>
      <c r="F46" s="12" t="s">
        <v>170</v>
      </c>
      <c r="G46" s="15" t="s">
        <v>68</v>
      </c>
      <c r="H46" s="12" t="s">
        <v>69</v>
      </c>
      <c r="I46" s="13" t="s">
        <v>138</v>
      </c>
      <c r="J46" s="13" t="s">
        <v>139</v>
      </c>
    </row>
    <row r="47" customFormat="false" ht="30" hidden="false" customHeight="true" outlineLevel="0" collapsed="false">
      <c r="A47" s="12" t="s">
        <v>234</v>
      </c>
      <c r="B47" s="13" t="s">
        <v>235</v>
      </c>
      <c r="C47" s="12" t="s">
        <v>142</v>
      </c>
      <c r="D47" s="12" t="s">
        <v>27</v>
      </c>
      <c r="E47" s="12" t="s">
        <v>207</v>
      </c>
      <c r="F47" s="12" t="s">
        <v>137</v>
      </c>
      <c r="G47" s="15" t="s">
        <v>68</v>
      </c>
      <c r="H47" s="12" t="s">
        <v>69</v>
      </c>
      <c r="I47" s="13" t="s">
        <v>145</v>
      </c>
      <c r="J47" s="13" t="s">
        <v>146</v>
      </c>
    </row>
    <row r="48" customFormat="false" ht="30" hidden="false" customHeight="true" outlineLevel="0" collapsed="false">
      <c r="A48" s="12" t="s">
        <v>236</v>
      </c>
      <c r="B48" s="13" t="s">
        <v>237</v>
      </c>
      <c r="C48" s="12" t="s">
        <v>149</v>
      </c>
      <c r="D48" s="12" t="s">
        <v>27</v>
      </c>
      <c r="E48" s="12" t="s">
        <v>238</v>
      </c>
      <c r="F48" s="12" t="s">
        <v>112</v>
      </c>
      <c r="G48" s="14" t="s">
        <v>53</v>
      </c>
      <c r="H48" s="12" t="s">
        <v>54</v>
      </c>
      <c r="I48" s="13" t="s">
        <v>150</v>
      </c>
      <c r="J48" s="13" t="s">
        <v>151</v>
      </c>
    </row>
    <row r="49" customFormat="false" ht="30" hidden="false" customHeight="true" outlineLevel="0" collapsed="false">
      <c r="A49" s="12" t="s">
        <v>239</v>
      </c>
      <c r="B49" s="13" t="s">
        <v>240</v>
      </c>
      <c r="C49" s="12" t="s">
        <v>50</v>
      </c>
      <c r="D49" s="12" t="s">
        <v>27</v>
      </c>
      <c r="E49" s="12" t="s">
        <v>51</v>
      </c>
      <c r="F49" s="12" t="s">
        <v>52</v>
      </c>
      <c r="G49" s="14" t="s">
        <v>53</v>
      </c>
      <c r="H49" s="12" t="s">
        <v>78</v>
      </c>
      <c r="I49" s="13" t="s">
        <v>55</v>
      </c>
      <c r="J49" s="13" t="s">
        <v>56</v>
      </c>
    </row>
    <row r="50" customFormat="false" ht="30" hidden="false" customHeight="true" outlineLevel="0" collapsed="false">
      <c r="A50" s="12" t="s">
        <v>241</v>
      </c>
      <c r="B50" s="13" t="s">
        <v>242</v>
      </c>
      <c r="C50" s="12" t="s">
        <v>59</v>
      </c>
      <c r="D50" s="12" t="s">
        <v>27</v>
      </c>
      <c r="E50" s="12" t="s">
        <v>243</v>
      </c>
      <c r="F50" s="12" t="s">
        <v>112</v>
      </c>
      <c r="G50" s="14" t="s">
        <v>53</v>
      </c>
      <c r="H50" s="12" t="s">
        <v>78</v>
      </c>
      <c r="I50" s="13" t="s">
        <v>62</v>
      </c>
      <c r="J50" s="13" t="s">
        <v>63</v>
      </c>
    </row>
    <row r="51" customFormat="false" ht="30" hidden="false" customHeight="true" outlineLevel="0" collapsed="false">
      <c r="A51" s="12" t="s">
        <v>244</v>
      </c>
      <c r="B51" s="13" t="s">
        <v>245</v>
      </c>
      <c r="C51" s="12" t="s">
        <v>66</v>
      </c>
      <c r="D51" s="12" t="s">
        <v>27</v>
      </c>
      <c r="E51" s="12" t="s">
        <v>246</v>
      </c>
      <c r="F51" s="12" t="s">
        <v>106</v>
      </c>
      <c r="G51" s="14" t="s">
        <v>53</v>
      </c>
      <c r="H51" s="12" t="s">
        <v>78</v>
      </c>
      <c r="I51" s="13" t="s">
        <v>70</v>
      </c>
      <c r="J51" s="13" t="s">
        <v>71</v>
      </c>
    </row>
    <row r="52" customFormat="false" ht="30" hidden="false" customHeight="true" outlineLevel="0" collapsed="false">
      <c r="A52" s="12" t="s">
        <v>247</v>
      </c>
      <c r="B52" s="13" t="s">
        <v>248</v>
      </c>
      <c r="C52" s="12" t="s">
        <v>74</v>
      </c>
      <c r="D52" s="12" t="s">
        <v>27</v>
      </c>
      <c r="E52" s="12" t="s">
        <v>249</v>
      </c>
      <c r="F52" s="12" t="s">
        <v>137</v>
      </c>
      <c r="G52" s="15" t="s">
        <v>68</v>
      </c>
      <c r="H52" s="12" t="s">
        <v>54</v>
      </c>
      <c r="I52" s="13" t="s">
        <v>79</v>
      </c>
      <c r="J52" s="13" t="s">
        <v>80</v>
      </c>
    </row>
    <row r="53" customFormat="false" ht="30" hidden="false" customHeight="true" outlineLevel="0" collapsed="false">
      <c r="A53" s="12" t="s">
        <v>250</v>
      </c>
      <c r="B53" s="13" t="s">
        <v>251</v>
      </c>
      <c r="C53" s="12" t="s">
        <v>83</v>
      </c>
      <c r="D53" s="12" t="s">
        <v>29</v>
      </c>
      <c r="E53" s="12" t="s">
        <v>159</v>
      </c>
      <c r="F53" s="12" t="s">
        <v>160</v>
      </c>
      <c r="G53" s="15" t="s">
        <v>68</v>
      </c>
      <c r="H53" s="12" t="s">
        <v>54</v>
      </c>
      <c r="I53" s="13" t="s">
        <v>86</v>
      </c>
      <c r="J53" s="13" t="s">
        <v>87</v>
      </c>
    </row>
    <row r="54" customFormat="false" ht="30" hidden="false" customHeight="true" outlineLevel="0" collapsed="false">
      <c r="A54" s="12" t="s">
        <v>252</v>
      </c>
      <c r="B54" s="13" t="s">
        <v>253</v>
      </c>
      <c r="C54" s="12" t="s">
        <v>90</v>
      </c>
      <c r="D54" s="12" t="s">
        <v>29</v>
      </c>
      <c r="E54" s="12" t="s">
        <v>118</v>
      </c>
      <c r="F54" s="12" t="s">
        <v>119</v>
      </c>
      <c r="G54" s="14" t="s">
        <v>53</v>
      </c>
      <c r="H54" s="12" t="s">
        <v>54</v>
      </c>
      <c r="I54" s="13" t="s">
        <v>94</v>
      </c>
      <c r="J54" s="13" t="s">
        <v>95</v>
      </c>
    </row>
    <row r="55" customFormat="false" ht="30" hidden="false" customHeight="true" outlineLevel="0" collapsed="false">
      <c r="A55" s="12" t="s">
        <v>254</v>
      </c>
      <c r="B55" s="13" t="s">
        <v>255</v>
      </c>
      <c r="C55" s="12" t="s">
        <v>98</v>
      </c>
      <c r="D55" s="12" t="s">
        <v>29</v>
      </c>
      <c r="E55" s="12" t="s">
        <v>51</v>
      </c>
      <c r="F55" s="12" t="s">
        <v>52</v>
      </c>
      <c r="G55" s="14" t="s">
        <v>53</v>
      </c>
      <c r="H55" s="12" t="s">
        <v>78</v>
      </c>
      <c r="I55" s="13" t="s">
        <v>100</v>
      </c>
      <c r="J55" s="13" t="s">
        <v>101</v>
      </c>
    </row>
    <row r="56" customFormat="false" ht="30" hidden="false" customHeight="true" outlineLevel="0" collapsed="false">
      <c r="A56" s="12" t="s">
        <v>256</v>
      </c>
      <c r="B56" s="13" t="s">
        <v>257</v>
      </c>
      <c r="C56" s="12" t="s">
        <v>104</v>
      </c>
      <c r="D56" s="12" t="s">
        <v>29</v>
      </c>
      <c r="E56" s="12" t="s">
        <v>51</v>
      </c>
      <c r="F56" s="12" t="s">
        <v>52</v>
      </c>
      <c r="G56" s="14" t="s">
        <v>53</v>
      </c>
      <c r="H56" s="12" t="s">
        <v>78</v>
      </c>
      <c r="I56" s="13" t="s">
        <v>107</v>
      </c>
      <c r="J56" s="13" t="s">
        <v>108</v>
      </c>
    </row>
    <row r="57" customFormat="false" ht="30" hidden="false" customHeight="true" outlineLevel="0" collapsed="false">
      <c r="A57" s="12" t="s">
        <v>258</v>
      </c>
      <c r="B57" s="13" t="s">
        <v>259</v>
      </c>
      <c r="C57" s="12" t="s">
        <v>111</v>
      </c>
      <c r="D57" s="12" t="s">
        <v>29</v>
      </c>
      <c r="E57" s="12" t="s">
        <v>175</v>
      </c>
      <c r="F57" s="12" t="s">
        <v>170</v>
      </c>
      <c r="G57" s="15" t="s">
        <v>68</v>
      </c>
      <c r="H57" s="12" t="s">
        <v>69</v>
      </c>
      <c r="I57" s="13" t="s">
        <v>113</v>
      </c>
      <c r="J57" s="13" t="s">
        <v>114</v>
      </c>
    </row>
    <row r="58" customFormat="false" ht="30" hidden="false" customHeight="true" outlineLevel="0" collapsed="false">
      <c r="A58" s="12" t="s">
        <v>260</v>
      </c>
      <c r="B58" s="13" t="s">
        <v>261</v>
      </c>
      <c r="C58" s="12" t="s">
        <v>117</v>
      </c>
      <c r="D58" s="12" t="s">
        <v>29</v>
      </c>
      <c r="E58" s="12" t="s">
        <v>175</v>
      </c>
      <c r="F58" s="12" t="s">
        <v>220</v>
      </c>
      <c r="G58" s="15" t="s">
        <v>68</v>
      </c>
      <c r="H58" s="12" t="s">
        <v>69</v>
      </c>
      <c r="I58" s="13" t="s">
        <v>120</v>
      </c>
      <c r="J58" s="13" t="s">
        <v>121</v>
      </c>
    </row>
    <row r="59" customFormat="false" ht="30" hidden="false" customHeight="true" outlineLevel="0" collapsed="false">
      <c r="A59" s="12" t="s">
        <v>262</v>
      </c>
      <c r="B59" s="13" t="s">
        <v>263</v>
      </c>
      <c r="C59" s="12" t="s">
        <v>124</v>
      </c>
      <c r="D59" s="12" t="s">
        <v>29</v>
      </c>
      <c r="E59" s="12" t="s">
        <v>99</v>
      </c>
      <c r="F59" s="12" t="s">
        <v>119</v>
      </c>
      <c r="G59" s="14" t="s">
        <v>53</v>
      </c>
      <c r="H59" s="12" t="s">
        <v>54</v>
      </c>
      <c r="I59" s="13" t="s">
        <v>125</v>
      </c>
      <c r="J59" s="13" t="s">
        <v>126</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40"/>
    <col collapsed="false" customWidth="true" hidden="false" outlineLevel="0" max="5" min="4" style="0" width="28"/>
    <col collapsed="false" customWidth="true" hidden="false" outlineLevel="0" max="6" min="6" style="0" width="16"/>
    <col collapsed="false" customWidth="true" hidden="false" outlineLevel="0" max="7" min="7" style="0" width="20"/>
    <col collapsed="false" customWidth="true" hidden="false" outlineLevel="0" max="8" min="8" style="0" width="42"/>
  </cols>
  <sheetData>
    <row r="1" customFormat="false" ht="21.75" hidden="false" customHeight="true" outlineLevel="0" collapsed="false">
      <c r="A1" s="10" t="s">
        <v>264</v>
      </c>
      <c r="B1" s="10"/>
      <c r="C1" s="10"/>
      <c r="D1" s="10"/>
      <c r="E1" s="10"/>
      <c r="F1" s="10"/>
      <c r="G1" s="10"/>
      <c r="H1" s="10"/>
    </row>
    <row r="3" customFormat="false" ht="30" hidden="false" customHeight="true" outlineLevel="0" collapsed="false">
      <c r="A3" s="11" t="s">
        <v>38</v>
      </c>
      <c r="B3" s="11" t="s">
        <v>265</v>
      </c>
      <c r="C3" s="11" t="s">
        <v>266</v>
      </c>
      <c r="D3" s="11" t="s">
        <v>267</v>
      </c>
      <c r="E3" s="11" t="s">
        <v>268</v>
      </c>
      <c r="F3" s="11" t="s">
        <v>269</v>
      </c>
      <c r="G3" s="11" t="s">
        <v>270</v>
      </c>
      <c r="H3" s="11" t="s">
        <v>271</v>
      </c>
    </row>
    <row r="4" customFormat="false" ht="60" hidden="false" customHeight="true" outlineLevel="0" collapsed="false">
      <c r="A4" s="12" t="s">
        <v>48</v>
      </c>
      <c r="B4" s="12" t="s">
        <v>272</v>
      </c>
      <c r="C4" s="13" t="s">
        <v>273</v>
      </c>
      <c r="D4" s="13" t="s">
        <v>274</v>
      </c>
      <c r="E4" s="13" t="s">
        <v>275</v>
      </c>
      <c r="F4" s="12" t="s">
        <v>274</v>
      </c>
      <c r="G4" s="12" t="s">
        <v>276</v>
      </c>
      <c r="H4" s="13" t="s">
        <v>277</v>
      </c>
    </row>
    <row r="5" customFormat="false" ht="60" hidden="false" customHeight="true" outlineLevel="0" collapsed="false">
      <c r="A5" s="12" t="s">
        <v>48</v>
      </c>
      <c r="B5" s="12" t="s">
        <v>275</v>
      </c>
      <c r="C5" s="13" t="s">
        <v>278</v>
      </c>
      <c r="D5" s="13" t="s">
        <v>272</v>
      </c>
      <c r="E5" s="13" t="s">
        <v>279</v>
      </c>
      <c r="F5" s="12" t="s">
        <v>274</v>
      </c>
      <c r="G5" s="12" t="s">
        <v>276</v>
      </c>
      <c r="H5" s="13" t="s">
        <v>280</v>
      </c>
    </row>
    <row r="6" customFormat="false" ht="60" hidden="false" customHeight="true" outlineLevel="0" collapsed="false">
      <c r="A6" s="12" t="s">
        <v>48</v>
      </c>
      <c r="B6" s="12" t="s">
        <v>279</v>
      </c>
      <c r="C6" s="13" t="s">
        <v>281</v>
      </c>
      <c r="D6" s="13" t="s">
        <v>275</v>
      </c>
      <c r="E6" s="13" t="s">
        <v>282</v>
      </c>
      <c r="F6" s="12" t="s">
        <v>274</v>
      </c>
      <c r="G6" s="12" t="s">
        <v>276</v>
      </c>
      <c r="H6" s="13" t="s">
        <v>283</v>
      </c>
    </row>
    <row r="7" customFormat="false" ht="60" hidden="false" customHeight="true" outlineLevel="0" collapsed="false">
      <c r="A7" s="12" t="s">
        <v>48</v>
      </c>
      <c r="B7" s="12" t="s">
        <v>284</v>
      </c>
      <c r="C7" s="13" t="s">
        <v>273</v>
      </c>
      <c r="D7" s="13" t="s">
        <v>279</v>
      </c>
      <c r="E7" s="13" t="s">
        <v>285</v>
      </c>
      <c r="F7" s="12" t="s">
        <v>274</v>
      </c>
      <c r="G7" s="12" t="s">
        <v>276</v>
      </c>
      <c r="H7" s="13" t="s">
        <v>286</v>
      </c>
    </row>
    <row r="8" customFormat="false" ht="60" hidden="false" customHeight="true" outlineLevel="0" collapsed="false">
      <c r="A8" s="12" t="s">
        <v>48</v>
      </c>
      <c r="B8" s="12" t="s">
        <v>287</v>
      </c>
      <c r="C8" s="13" t="s">
        <v>288</v>
      </c>
      <c r="D8" s="13" t="s">
        <v>279</v>
      </c>
      <c r="E8" s="13" t="s">
        <v>289</v>
      </c>
      <c r="F8" s="12" t="s">
        <v>274</v>
      </c>
      <c r="G8" s="12" t="s">
        <v>276</v>
      </c>
      <c r="H8" s="13" t="s">
        <v>290</v>
      </c>
    </row>
    <row r="9" customFormat="false" ht="60" hidden="false" customHeight="true" outlineLevel="0" collapsed="false">
      <c r="A9" s="12" t="s">
        <v>48</v>
      </c>
      <c r="B9" s="12" t="s">
        <v>291</v>
      </c>
      <c r="C9" s="13" t="s">
        <v>292</v>
      </c>
      <c r="D9" s="13" t="s">
        <v>284</v>
      </c>
      <c r="E9" s="13" t="s">
        <v>289</v>
      </c>
      <c r="F9" s="12" t="s">
        <v>293</v>
      </c>
      <c r="G9" s="12" t="s">
        <v>276</v>
      </c>
      <c r="H9" s="13" t="s">
        <v>294</v>
      </c>
    </row>
    <row r="10" customFormat="false" ht="60" hidden="false" customHeight="true" outlineLevel="0" collapsed="false">
      <c r="A10" s="12" t="s">
        <v>48</v>
      </c>
      <c r="B10" s="12" t="s">
        <v>295</v>
      </c>
      <c r="C10" s="13" t="s">
        <v>296</v>
      </c>
      <c r="D10" s="13" t="s">
        <v>284</v>
      </c>
      <c r="E10" s="13" t="s">
        <v>289</v>
      </c>
      <c r="F10" s="12" t="s">
        <v>293</v>
      </c>
      <c r="G10" s="12" t="s">
        <v>276</v>
      </c>
      <c r="H10" s="13" t="s">
        <v>294</v>
      </c>
    </row>
    <row r="11" customFormat="false" ht="60" hidden="false" customHeight="true" outlineLevel="0" collapsed="false">
      <c r="A11" s="12" t="s">
        <v>48</v>
      </c>
      <c r="B11" s="12" t="s">
        <v>297</v>
      </c>
      <c r="C11" s="13" t="s">
        <v>298</v>
      </c>
      <c r="D11" s="13" t="s">
        <v>284</v>
      </c>
      <c r="E11" s="13" t="s">
        <v>289</v>
      </c>
      <c r="F11" s="12" t="s">
        <v>293</v>
      </c>
      <c r="G11" s="12" t="s">
        <v>276</v>
      </c>
      <c r="H11" s="13" t="s">
        <v>294</v>
      </c>
    </row>
    <row r="12" customFormat="false" ht="60" hidden="false" customHeight="true" outlineLevel="0" collapsed="false">
      <c r="A12" s="12" t="s">
        <v>48</v>
      </c>
      <c r="B12" s="12" t="s">
        <v>289</v>
      </c>
      <c r="C12" s="13" t="s">
        <v>299</v>
      </c>
      <c r="D12" s="13" t="s">
        <v>300</v>
      </c>
      <c r="E12" s="13" t="s">
        <v>301</v>
      </c>
      <c r="F12" s="12" t="s">
        <v>274</v>
      </c>
      <c r="G12" s="12" t="s">
        <v>302</v>
      </c>
      <c r="H12" s="13" t="s">
        <v>303</v>
      </c>
    </row>
    <row r="13" customFormat="false" ht="60" hidden="false" customHeight="true" outlineLevel="0" collapsed="false">
      <c r="A13" s="12" t="s">
        <v>48</v>
      </c>
      <c r="B13" s="12" t="s">
        <v>301</v>
      </c>
      <c r="C13" s="13" t="s">
        <v>304</v>
      </c>
      <c r="D13" s="13" t="s">
        <v>289</v>
      </c>
      <c r="E13" s="13" t="s">
        <v>305</v>
      </c>
      <c r="F13" s="12" t="s">
        <v>274</v>
      </c>
      <c r="G13" s="12" t="s">
        <v>276</v>
      </c>
      <c r="H13" s="13" t="s">
        <v>306</v>
      </c>
    </row>
    <row r="14" customFormat="false" ht="60" hidden="false" customHeight="true" outlineLevel="0" collapsed="false">
      <c r="A14" s="12" t="s">
        <v>48</v>
      </c>
      <c r="B14" s="12" t="s">
        <v>305</v>
      </c>
      <c r="C14" s="13" t="s">
        <v>281</v>
      </c>
      <c r="D14" s="13" t="s">
        <v>301</v>
      </c>
      <c r="E14" s="13" t="s">
        <v>307</v>
      </c>
      <c r="F14" s="12" t="s">
        <v>274</v>
      </c>
      <c r="G14" s="12" t="s">
        <v>276</v>
      </c>
      <c r="H14" s="13" t="s">
        <v>308</v>
      </c>
    </row>
    <row r="15" customFormat="false" ht="60" hidden="false" customHeight="true" outlineLevel="0" collapsed="false">
      <c r="A15" s="12" t="s">
        <v>48</v>
      </c>
      <c r="B15" s="12" t="s">
        <v>309</v>
      </c>
      <c r="C15" s="13" t="s">
        <v>273</v>
      </c>
      <c r="D15" s="13" t="s">
        <v>305</v>
      </c>
      <c r="E15" s="13" t="s">
        <v>310</v>
      </c>
      <c r="F15" s="12" t="s">
        <v>274</v>
      </c>
      <c r="G15" s="12" t="s">
        <v>276</v>
      </c>
      <c r="H15" s="13" t="s">
        <v>311</v>
      </c>
    </row>
    <row r="16" customFormat="false" ht="60" hidden="false" customHeight="true" outlineLevel="0" collapsed="false">
      <c r="A16" s="12" t="s">
        <v>48</v>
      </c>
      <c r="B16" s="12" t="s">
        <v>312</v>
      </c>
      <c r="C16" s="13" t="s">
        <v>313</v>
      </c>
      <c r="D16" s="13" t="s">
        <v>305</v>
      </c>
      <c r="E16" s="13" t="s">
        <v>310</v>
      </c>
      <c r="F16" s="12" t="s">
        <v>274</v>
      </c>
      <c r="G16" s="12" t="s">
        <v>276</v>
      </c>
      <c r="H16" s="13" t="s">
        <v>314</v>
      </c>
    </row>
    <row r="17" customFormat="false" ht="60" hidden="false" customHeight="true" outlineLevel="0" collapsed="false">
      <c r="A17" s="12" t="s">
        <v>48</v>
      </c>
      <c r="B17" s="12" t="s">
        <v>310</v>
      </c>
      <c r="C17" s="13" t="s">
        <v>273</v>
      </c>
      <c r="D17" s="13" t="s">
        <v>307</v>
      </c>
      <c r="E17" s="13" t="s">
        <v>274</v>
      </c>
      <c r="F17" s="12" t="s">
        <v>274</v>
      </c>
      <c r="G17" s="12" t="s">
        <v>302</v>
      </c>
      <c r="H17" s="13" t="s">
        <v>315</v>
      </c>
    </row>
    <row r="18" customFormat="false" ht="60" hidden="false" customHeight="true" outlineLevel="0" collapsed="false">
      <c r="A18" s="12" t="s">
        <v>57</v>
      </c>
      <c r="B18" s="12" t="s">
        <v>272</v>
      </c>
      <c r="C18" s="13" t="s">
        <v>273</v>
      </c>
      <c r="D18" s="13" t="s">
        <v>274</v>
      </c>
      <c r="E18" s="13" t="s">
        <v>316</v>
      </c>
      <c r="F18" s="12" t="s">
        <v>274</v>
      </c>
      <c r="G18" s="12" t="s">
        <v>276</v>
      </c>
      <c r="H18" s="13" t="s">
        <v>277</v>
      </c>
    </row>
    <row r="19" customFormat="false" ht="60" hidden="false" customHeight="true" outlineLevel="0" collapsed="false">
      <c r="A19" s="12" t="s">
        <v>57</v>
      </c>
      <c r="B19" s="12" t="s">
        <v>316</v>
      </c>
      <c r="C19" s="13" t="s">
        <v>278</v>
      </c>
      <c r="D19" s="13" t="s">
        <v>272</v>
      </c>
      <c r="E19" s="13" t="s">
        <v>279</v>
      </c>
      <c r="F19" s="12" t="s">
        <v>274</v>
      </c>
      <c r="G19" s="12" t="s">
        <v>276</v>
      </c>
      <c r="H19" s="13" t="s">
        <v>317</v>
      </c>
    </row>
    <row r="20" customFormat="false" ht="60" hidden="false" customHeight="true" outlineLevel="0" collapsed="false">
      <c r="A20" s="12" t="s">
        <v>57</v>
      </c>
      <c r="B20" s="12" t="s">
        <v>279</v>
      </c>
      <c r="C20" s="13" t="s">
        <v>281</v>
      </c>
      <c r="D20" s="13" t="s">
        <v>316</v>
      </c>
      <c r="E20" s="13" t="s">
        <v>282</v>
      </c>
      <c r="F20" s="12" t="s">
        <v>274</v>
      </c>
      <c r="G20" s="12" t="s">
        <v>276</v>
      </c>
      <c r="H20" s="13" t="s">
        <v>283</v>
      </c>
    </row>
    <row r="21" customFormat="false" ht="60" hidden="false" customHeight="true" outlineLevel="0" collapsed="false">
      <c r="A21" s="12" t="s">
        <v>57</v>
      </c>
      <c r="B21" s="12" t="s">
        <v>284</v>
      </c>
      <c r="C21" s="13" t="s">
        <v>273</v>
      </c>
      <c r="D21" s="13" t="s">
        <v>279</v>
      </c>
      <c r="E21" s="13" t="s">
        <v>285</v>
      </c>
      <c r="F21" s="12" t="s">
        <v>274</v>
      </c>
      <c r="G21" s="12" t="s">
        <v>276</v>
      </c>
      <c r="H21" s="13" t="s">
        <v>286</v>
      </c>
    </row>
    <row r="22" customFormat="false" ht="60" hidden="false" customHeight="true" outlineLevel="0" collapsed="false">
      <c r="A22" s="12" t="s">
        <v>57</v>
      </c>
      <c r="B22" s="12" t="s">
        <v>287</v>
      </c>
      <c r="C22" s="13" t="s">
        <v>288</v>
      </c>
      <c r="D22" s="13" t="s">
        <v>279</v>
      </c>
      <c r="E22" s="13" t="s">
        <v>289</v>
      </c>
      <c r="F22" s="12" t="s">
        <v>274</v>
      </c>
      <c r="G22" s="12" t="s">
        <v>276</v>
      </c>
      <c r="H22" s="13" t="s">
        <v>290</v>
      </c>
    </row>
    <row r="23" customFormat="false" ht="60" hidden="false" customHeight="true" outlineLevel="0" collapsed="false">
      <c r="A23" s="12" t="s">
        <v>57</v>
      </c>
      <c r="B23" s="12" t="s">
        <v>291</v>
      </c>
      <c r="C23" s="13" t="s">
        <v>292</v>
      </c>
      <c r="D23" s="13" t="s">
        <v>284</v>
      </c>
      <c r="E23" s="13" t="s">
        <v>289</v>
      </c>
      <c r="F23" s="12" t="s">
        <v>293</v>
      </c>
      <c r="G23" s="12" t="s">
        <v>276</v>
      </c>
      <c r="H23" s="13" t="s">
        <v>294</v>
      </c>
    </row>
    <row r="24" customFormat="false" ht="60" hidden="false" customHeight="true" outlineLevel="0" collapsed="false">
      <c r="A24" s="12" t="s">
        <v>57</v>
      </c>
      <c r="B24" s="12" t="s">
        <v>295</v>
      </c>
      <c r="C24" s="13" t="s">
        <v>296</v>
      </c>
      <c r="D24" s="13" t="s">
        <v>284</v>
      </c>
      <c r="E24" s="13" t="s">
        <v>289</v>
      </c>
      <c r="F24" s="12" t="s">
        <v>293</v>
      </c>
      <c r="G24" s="12" t="s">
        <v>276</v>
      </c>
      <c r="H24" s="13" t="s">
        <v>294</v>
      </c>
    </row>
    <row r="25" customFormat="false" ht="60" hidden="false" customHeight="true" outlineLevel="0" collapsed="false">
      <c r="A25" s="12" t="s">
        <v>57</v>
      </c>
      <c r="B25" s="12" t="s">
        <v>297</v>
      </c>
      <c r="C25" s="13" t="s">
        <v>298</v>
      </c>
      <c r="D25" s="13" t="s">
        <v>284</v>
      </c>
      <c r="E25" s="13" t="s">
        <v>289</v>
      </c>
      <c r="F25" s="12" t="s">
        <v>293</v>
      </c>
      <c r="G25" s="12" t="s">
        <v>276</v>
      </c>
      <c r="H25" s="13" t="s">
        <v>294</v>
      </c>
    </row>
    <row r="26" customFormat="false" ht="60" hidden="false" customHeight="true" outlineLevel="0" collapsed="false">
      <c r="A26" s="12" t="s">
        <v>57</v>
      </c>
      <c r="B26" s="12" t="s">
        <v>289</v>
      </c>
      <c r="C26" s="13" t="s">
        <v>299</v>
      </c>
      <c r="D26" s="13" t="s">
        <v>300</v>
      </c>
      <c r="E26" s="13" t="s">
        <v>318</v>
      </c>
      <c r="F26" s="12" t="s">
        <v>274</v>
      </c>
      <c r="G26" s="12" t="s">
        <v>302</v>
      </c>
      <c r="H26" s="13" t="s">
        <v>303</v>
      </c>
    </row>
    <row r="27" customFormat="false" ht="60" hidden="false" customHeight="true" outlineLevel="0" collapsed="false">
      <c r="A27" s="12" t="s">
        <v>57</v>
      </c>
      <c r="B27" s="12" t="s">
        <v>318</v>
      </c>
      <c r="C27" s="13" t="s">
        <v>304</v>
      </c>
      <c r="D27" s="13" t="s">
        <v>289</v>
      </c>
      <c r="E27" s="13" t="s">
        <v>305</v>
      </c>
      <c r="F27" s="12" t="s">
        <v>274</v>
      </c>
      <c r="G27" s="12" t="s">
        <v>276</v>
      </c>
      <c r="H27" s="13" t="s">
        <v>319</v>
      </c>
    </row>
    <row r="28" customFormat="false" ht="60" hidden="false" customHeight="true" outlineLevel="0" collapsed="false">
      <c r="A28" s="12" t="s">
        <v>57</v>
      </c>
      <c r="B28" s="12" t="s">
        <v>305</v>
      </c>
      <c r="C28" s="13" t="s">
        <v>281</v>
      </c>
      <c r="D28" s="13" t="s">
        <v>318</v>
      </c>
      <c r="E28" s="13" t="s">
        <v>307</v>
      </c>
      <c r="F28" s="12" t="s">
        <v>274</v>
      </c>
      <c r="G28" s="12" t="s">
        <v>276</v>
      </c>
      <c r="H28" s="13" t="s">
        <v>308</v>
      </c>
    </row>
    <row r="29" customFormat="false" ht="60" hidden="false" customHeight="true" outlineLevel="0" collapsed="false">
      <c r="A29" s="12" t="s">
        <v>57</v>
      </c>
      <c r="B29" s="12" t="s">
        <v>309</v>
      </c>
      <c r="C29" s="13" t="s">
        <v>273</v>
      </c>
      <c r="D29" s="13" t="s">
        <v>305</v>
      </c>
      <c r="E29" s="13" t="s">
        <v>310</v>
      </c>
      <c r="F29" s="12" t="s">
        <v>274</v>
      </c>
      <c r="G29" s="12" t="s">
        <v>276</v>
      </c>
      <c r="H29" s="13" t="s">
        <v>311</v>
      </c>
    </row>
    <row r="30" customFormat="false" ht="60" hidden="false" customHeight="true" outlineLevel="0" collapsed="false">
      <c r="A30" s="12" t="s">
        <v>57</v>
      </c>
      <c r="B30" s="12" t="s">
        <v>312</v>
      </c>
      <c r="C30" s="13" t="s">
        <v>313</v>
      </c>
      <c r="D30" s="13" t="s">
        <v>305</v>
      </c>
      <c r="E30" s="13" t="s">
        <v>310</v>
      </c>
      <c r="F30" s="12" t="s">
        <v>274</v>
      </c>
      <c r="G30" s="12" t="s">
        <v>276</v>
      </c>
      <c r="H30" s="13" t="s">
        <v>314</v>
      </c>
    </row>
    <row r="31" customFormat="false" ht="60" hidden="false" customHeight="true" outlineLevel="0" collapsed="false">
      <c r="A31" s="12" t="s">
        <v>57</v>
      </c>
      <c r="B31" s="12" t="s">
        <v>310</v>
      </c>
      <c r="C31" s="13" t="s">
        <v>273</v>
      </c>
      <c r="D31" s="13" t="s">
        <v>307</v>
      </c>
      <c r="E31" s="13" t="s">
        <v>274</v>
      </c>
      <c r="F31" s="12" t="s">
        <v>274</v>
      </c>
      <c r="G31" s="12" t="s">
        <v>302</v>
      </c>
      <c r="H31" s="13" t="s">
        <v>315</v>
      </c>
    </row>
    <row r="32" customFormat="false" ht="60" hidden="false" customHeight="true" outlineLevel="0" collapsed="false">
      <c r="A32" s="12" t="s">
        <v>64</v>
      </c>
      <c r="B32" s="12" t="s">
        <v>272</v>
      </c>
      <c r="C32" s="13" t="s">
        <v>273</v>
      </c>
      <c r="D32" s="13" t="s">
        <v>274</v>
      </c>
      <c r="E32" s="13" t="s">
        <v>320</v>
      </c>
      <c r="F32" s="12" t="s">
        <v>274</v>
      </c>
      <c r="G32" s="12" t="s">
        <v>276</v>
      </c>
      <c r="H32" s="13" t="s">
        <v>277</v>
      </c>
    </row>
    <row r="33" customFormat="false" ht="60" hidden="false" customHeight="true" outlineLevel="0" collapsed="false">
      <c r="A33" s="12" t="s">
        <v>64</v>
      </c>
      <c r="B33" s="12" t="s">
        <v>320</v>
      </c>
      <c r="C33" s="13" t="s">
        <v>278</v>
      </c>
      <c r="D33" s="13" t="s">
        <v>272</v>
      </c>
      <c r="E33" s="13" t="s">
        <v>279</v>
      </c>
      <c r="F33" s="12" t="s">
        <v>274</v>
      </c>
      <c r="G33" s="12" t="s">
        <v>276</v>
      </c>
      <c r="H33" s="13" t="s">
        <v>321</v>
      </c>
    </row>
    <row r="34" customFormat="false" ht="60" hidden="false" customHeight="true" outlineLevel="0" collapsed="false">
      <c r="A34" s="12" t="s">
        <v>64</v>
      </c>
      <c r="B34" s="12" t="s">
        <v>279</v>
      </c>
      <c r="C34" s="13" t="s">
        <v>281</v>
      </c>
      <c r="D34" s="13" t="s">
        <v>320</v>
      </c>
      <c r="E34" s="13" t="s">
        <v>282</v>
      </c>
      <c r="F34" s="12" t="s">
        <v>274</v>
      </c>
      <c r="G34" s="12" t="s">
        <v>276</v>
      </c>
      <c r="H34" s="13" t="s">
        <v>283</v>
      </c>
    </row>
    <row r="35" customFormat="false" ht="60" hidden="false" customHeight="true" outlineLevel="0" collapsed="false">
      <c r="A35" s="12" t="s">
        <v>64</v>
      </c>
      <c r="B35" s="12" t="s">
        <v>284</v>
      </c>
      <c r="C35" s="13" t="s">
        <v>273</v>
      </c>
      <c r="D35" s="13" t="s">
        <v>279</v>
      </c>
      <c r="E35" s="13" t="s">
        <v>285</v>
      </c>
      <c r="F35" s="12" t="s">
        <v>274</v>
      </c>
      <c r="G35" s="12" t="s">
        <v>276</v>
      </c>
      <c r="H35" s="13" t="s">
        <v>286</v>
      </c>
    </row>
    <row r="36" customFormat="false" ht="60" hidden="false" customHeight="true" outlineLevel="0" collapsed="false">
      <c r="A36" s="12" t="s">
        <v>64</v>
      </c>
      <c r="B36" s="12" t="s">
        <v>287</v>
      </c>
      <c r="C36" s="13" t="s">
        <v>288</v>
      </c>
      <c r="D36" s="13" t="s">
        <v>279</v>
      </c>
      <c r="E36" s="13" t="s">
        <v>289</v>
      </c>
      <c r="F36" s="12" t="s">
        <v>274</v>
      </c>
      <c r="G36" s="12" t="s">
        <v>276</v>
      </c>
      <c r="H36" s="13" t="s">
        <v>290</v>
      </c>
    </row>
    <row r="37" customFormat="false" ht="60" hidden="false" customHeight="true" outlineLevel="0" collapsed="false">
      <c r="A37" s="12" t="s">
        <v>64</v>
      </c>
      <c r="B37" s="12" t="s">
        <v>291</v>
      </c>
      <c r="C37" s="13" t="s">
        <v>292</v>
      </c>
      <c r="D37" s="13" t="s">
        <v>284</v>
      </c>
      <c r="E37" s="13" t="s">
        <v>289</v>
      </c>
      <c r="F37" s="12" t="s">
        <v>293</v>
      </c>
      <c r="G37" s="12" t="s">
        <v>276</v>
      </c>
      <c r="H37" s="13" t="s">
        <v>294</v>
      </c>
    </row>
    <row r="38" customFormat="false" ht="60" hidden="false" customHeight="true" outlineLevel="0" collapsed="false">
      <c r="A38" s="12" t="s">
        <v>64</v>
      </c>
      <c r="B38" s="12" t="s">
        <v>295</v>
      </c>
      <c r="C38" s="13" t="s">
        <v>296</v>
      </c>
      <c r="D38" s="13" t="s">
        <v>284</v>
      </c>
      <c r="E38" s="13" t="s">
        <v>289</v>
      </c>
      <c r="F38" s="12" t="s">
        <v>293</v>
      </c>
      <c r="G38" s="12" t="s">
        <v>276</v>
      </c>
      <c r="H38" s="13" t="s">
        <v>294</v>
      </c>
    </row>
    <row r="39" customFormat="false" ht="60" hidden="false" customHeight="true" outlineLevel="0" collapsed="false">
      <c r="A39" s="12" t="s">
        <v>64</v>
      </c>
      <c r="B39" s="12" t="s">
        <v>297</v>
      </c>
      <c r="C39" s="13" t="s">
        <v>298</v>
      </c>
      <c r="D39" s="13" t="s">
        <v>284</v>
      </c>
      <c r="E39" s="13" t="s">
        <v>289</v>
      </c>
      <c r="F39" s="12" t="s">
        <v>293</v>
      </c>
      <c r="G39" s="12" t="s">
        <v>276</v>
      </c>
      <c r="H39" s="13" t="s">
        <v>294</v>
      </c>
    </row>
    <row r="40" customFormat="false" ht="60" hidden="false" customHeight="true" outlineLevel="0" collapsed="false">
      <c r="A40" s="12" t="s">
        <v>64</v>
      </c>
      <c r="B40" s="12" t="s">
        <v>289</v>
      </c>
      <c r="C40" s="13" t="s">
        <v>299</v>
      </c>
      <c r="D40" s="13" t="s">
        <v>300</v>
      </c>
      <c r="E40" s="13" t="s">
        <v>322</v>
      </c>
      <c r="F40" s="12" t="s">
        <v>274</v>
      </c>
      <c r="G40" s="12" t="s">
        <v>302</v>
      </c>
      <c r="H40" s="13" t="s">
        <v>303</v>
      </c>
    </row>
    <row r="41" customFormat="false" ht="60" hidden="false" customHeight="true" outlineLevel="0" collapsed="false">
      <c r="A41" s="12" t="s">
        <v>64</v>
      </c>
      <c r="B41" s="12" t="s">
        <v>322</v>
      </c>
      <c r="C41" s="13" t="s">
        <v>304</v>
      </c>
      <c r="D41" s="13" t="s">
        <v>289</v>
      </c>
      <c r="E41" s="13" t="s">
        <v>305</v>
      </c>
      <c r="F41" s="12" t="s">
        <v>274</v>
      </c>
      <c r="G41" s="12" t="s">
        <v>276</v>
      </c>
      <c r="H41" s="13" t="s">
        <v>323</v>
      </c>
    </row>
    <row r="42" customFormat="false" ht="60" hidden="false" customHeight="true" outlineLevel="0" collapsed="false">
      <c r="A42" s="12" t="s">
        <v>64</v>
      </c>
      <c r="B42" s="12" t="s">
        <v>305</v>
      </c>
      <c r="C42" s="13" t="s">
        <v>281</v>
      </c>
      <c r="D42" s="13" t="s">
        <v>322</v>
      </c>
      <c r="E42" s="13" t="s">
        <v>307</v>
      </c>
      <c r="F42" s="12" t="s">
        <v>274</v>
      </c>
      <c r="G42" s="12" t="s">
        <v>276</v>
      </c>
      <c r="H42" s="13" t="s">
        <v>308</v>
      </c>
    </row>
    <row r="43" customFormat="false" ht="60" hidden="false" customHeight="true" outlineLevel="0" collapsed="false">
      <c r="A43" s="12" t="s">
        <v>64</v>
      </c>
      <c r="B43" s="12" t="s">
        <v>309</v>
      </c>
      <c r="C43" s="13" t="s">
        <v>273</v>
      </c>
      <c r="D43" s="13" t="s">
        <v>305</v>
      </c>
      <c r="E43" s="13" t="s">
        <v>310</v>
      </c>
      <c r="F43" s="12" t="s">
        <v>274</v>
      </c>
      <c r="G43" s="12" t="s">
        <v>276</v>
      </c>
      <c r="H43" s="13" t="s">
        <v>311</v>
      </c>
    </row>
    <row r="44" customFormat="false" ht="60" hidden="false" customHeight="true" outlineLevel="0" collapsed="false">
      <c r="A44" s="12" t="s">
        <v>64</v>
      </c>
      <c r="B44" s="12" t="s">
        <v>312</v>
      </c>
      <c r="C44" s="13" t="s">
        <v>313</v>
      </c>
      <c r="D44" s="13" t="s">
        <v>305</v>
      </c>
      <c r="E44" s="13" t="s">
        <v>310</v>
      </c>
      <c r="F44" s="12" t="s">
        <v>274</v>
      </c>
      <c r="G44" s="12" t="s">
        <v>276</v>
      </c>
      <c r="H44" s="13" t="s">
        <v>314</v>
      </c>
    </row>
    <row r="45" customFormat="false" ht="60" hidden="false" customHeight="true" outlineLevel="0" collapsed="false">
      <c r="A45" s="12" t="s">
        <v>64</v>
      </c>
      <c r="B45" s="12" t="s">
        <v>310</v>
      </c>
      <c r="C45" s="13" t="s">
        <v>273</v>
      </c>
      <c r="D45" s="13" t="s">
        <v>307</v>
      </c>
      <c r="E45" s="13" t="s">
        <v>274</v>
      </c>
      <c r="F45" s="12" t="s">
        <v>274</v>
      </c>
      <c r="G45" s="12" t="s">
        <v>302</v>
      </c>
      <c r="H45" s="13" t="s">
        <v>315</v>
      </c>
    </row>
    <row r="46" customFormat="false" ht="60" hidden="false" customHeight="true" outlineLevel="0" collapsed="false">
      <c r="A46" s="12" t="s">
        <v>72</v>
      </c>
      <c r="B46" s="12" t="s">
        <v>272</v>
      </c>
      <c r="C46" s="13" t="s">
        <v>273</v>
      </c>
      <c r="D46" s="13" t="s">
        <v>274</v>
      </c>
      <c r="E46" s="13" t="s">
        <v>324</v>
      </c>
      <c r="F46" s="12" t="s">
        <v>274</v>
      </c>
      <c r="G46" s="12" t="s">
        <v>276</v>
      </c>
      <c r="H46" s="13" t="s">
        <v>277</v>
      </c>
    </row>
    <row r="47" customFormat="false" ht="60" hidden="false" customHeight="true" outlineLevel="0" collapsed="false">
      <c r="A47" s="12" t="s">
        <v>72</v>
      </c>
      <c r="B47" s="12" t="s">
        <v>324</v>
      </c>
      <c r="C47" s="13" t="s">
        <v>278</v>
      </c>
      <c r="D47" s="13" t="s">
        <v>272</v>
      </c>
      <c r="E47" s="13" t="s">
        <v>279</v>
      </c>
      <c r="F47" s="12" t="s">
        <v>274</v>
      </c>
      <c r="G47" s="12" t="s">
        <v>276</v>
      </c>
      <c r="H47" s="13" t="s">
        <v>325</v>
      </c>
    </row>
    <row r="48" customFormat="false" ht="60" hidden="false" customHeight="true" outlineLevel="0" collapsed="false">
      <c r="A48" s="12" t="s">
        <v>72</v>
      </c>
      <c r="B48" s="12" t="s">
        <v>279</v>
      </c>
      <c r="C48" s="13" t="s">
        <v>281</v>
      </c>
      <c r="D48" s="13" t="s">
        <v>324</v>
      </c>
      <c r="E48" s="13" t="s">
        <v>282</v>
      </c>
      <c r="F48" s="12" t="s">
        <v>274</v>
      </c>
      <c r="G48" s="12" t="s">
        <v>276</v>
      </c>
      <c r="H48" s="13" t="s">
        <v>283</v>
      </c>
    </row>
    <row r="49" customFormat="false" ht="60" hidden="false" customHeight="true" outlineLevel="0" collapsed="false">
      <c r="A49" s="12" t="s">
        <v>72</v>
      </c>
      <c r="B49" s="12" t="s">
        <v>284</v>
      </c>
      <c r="C49" s="13" t="s">
        <v>273</v>
      </c>
      <c r="D49" s="13" t="s">
        <v>279</v>
      </c>
      <c r="E49" s="13" t="s">
        <v>285</v>
      </c>
      <c r="F49" s="12" t="s">
        <v>274</v>
      </c>
      <c r="G49" s="12" t="s">
        <v>276</v>
      </c>
      <c r="H49" s="13" t="s">
        <v>286</v>
      </c>
    </row>
    <row r="50" customFormat="false" ht="60" hidden="false" customHeight="true" outlineLevel="0" collapsed="false">
      <c r="A50" s="12" t="s">
        <v>72</v>
      </c>
      <c r="B50" s="12" t="s">
        <v>287</v>
      </c>
      <c r="C50" s="13" t="s">
        <v>288</v>
      </c>
      <c r="D50" s="13" t="s">
        <v>279</v>
      </c>
      <c r="E50" s="13" t="s">
        <v>289</v>
      </c>
      <c r="F50" s="12" t="s">
        <v>274</v>
      </c>
      <c r="G50" s="12" t="s">
        <v>276</v>
      </c>
      <c r="H50" s="13" t="s">
        <v>290</v>
      </c>
    </row>
    <row r="51" customFormat="false" ht="60" hidden="false" customHeight="true" outlineLevel="0" collapsed="false">
      <c r="A51" s="12" t="s">
        <v>72</v>
      </c>
      <c r="B51" s="12" t="s">
        <v>291</v>
      </c>
      <c r="C51" s="13" t="s">
        <v>292</v>
      </c>
      <c r="D51" s="13" t="s">
        <v>284</v>
      </c>
      <c r="E51" s="13" t="s">
        <v>289</v>
      </c>
      <c r="F51" s="12" t="s">
        <v>293</v>
      </c>
      <c r="G51" s="12" t="s">
        <v>276</v>
      </c>
      <c r="H51" s="13" t="s">
        <v>294</v>
      </c>
    </row>
    <row r="52" customFormat="false" ht="60" hidden="false" customHeight="true" outlineLevel="0" collapsed="false">
      <c r="A52" s="12" t="s">
        <v>72</v>
      </c>
      <c r="B52" s="12" t="s">
        <v>295</v>
      </c>
      <c r="C52" s="13" t="s">
        <v>296</v>
      </c>
      <c r="D52" s="13" t="s">
        <v>284</v>
      </c>
      <c r="E52" s="13" t="s">
        <v>289</v>
      </c>
      <c r="F52" s="12" t="s">
        <v>293</v>
      </c>
      <c r="G52" s="12" t="s">
        <v>276</v>
      </c>
      <c r="H52" s="13" t="s">
        <v>294</v>
      </c>
    </row>
    <row r="53" customFormat="false" ht="60" hidden="false" customHeight="true" outlineLevel="0" collapsed="false">
      <c r="A53" s="12" t="s">
        <v>72</v>
      </c>
      <c r="B53" s="12" t="s">
        <v>297</v>
      </c>
      <c r="C53" s="13" t="s">
        <v>298</v>
      </c>
      <c r="D53" s="13" t="s">
        <v>284</v>
      </c>
      <c r="E53" s="13" t="s">
        <v>289</v>
      </c>
      <c r="F53" s="12" t="s">
        <v>293</v>
      </c>
      <c r="G53" s="12" t="s">
        <v>276</v>
      </c>
      <c r="H53" s="13" t="s">
        <v>294</v>
      </c>
    </row>
    <row r="54" customFormat="false" ht="60" hidden="false" customHeight="true" outlineLevel="0" collapsed="false">
      <c r="A54" s="12" t="s">
        <v>72</v>
      </c>
      <c r="B54" s="12" t="s">
        <v>289</v>
      </c>
      <c r="C54" s="13" t="s">
        <v>299</v>
      </c>
      <c r="D54" s="13" t="s">
        <v>300</v>
      </c>
      <c r="E54" s="13" t="s">
        <v>326</v>
      </c>
      <c r="F54" s="12" t="s">
        <v>274</v>
      </c>
      <c r="G54" s="12" t="s">
        <v>302</v>
      </c>
      <c r="H54" s="13" t="s">
        <v>303</v>
      </c>
    </row>
    <row r="55" customFormat="false" ht="60" hidden="false" customHeight="true" outlineLevel="0" collapsed="false">
      <c r="A55" s="12" t="s">
        <v>72</v>
      </c>
      <c r="B55" s="12" t="s">
        <v>326</v>
      </c>
      <c r="C55" s="13" t="s">
        <v>304</v>
      </c>
      <c r="D55" s="13" t="s">
        <v>289</v>
      </c>
      <c r="E55" s="13" t="s">
        <v>305</v>
      </c>
      <c r="F55" s="12" t="s">
        <v>274</v>
      </c>
      <c r="G55" s="12" t="s">
        <v>276</v>
      </c>
      <c r="H55" s="13" t="s">
        <v>327</v>
      </c>
    </row>
    <row r="56" customFormat="false" ht="60" hidden="false" customHeight="true" outlineLevel="0" collapsed="false">
      <c r="A56" s="12" t="s">
        <v>72</v>
      </c>
      <c r="B56" s="12" t="s">
        <v>305</v>
      </c>
      <c r="C56" s="13" t="s">
        <v>281</v>
      </c>
      <c r="D56" s="13" t="s">
        <v>326</v>
      </c>
      <c r="E56" s="13" t="s">
        <v>307</v>
      </c>
      <c r="F56" s="12" t="s">
        <v>274</v>
      </c>
      <c r="G56" s="12" t="s">
        <v>276</v>
      </c>
      <c r="H56" s="13" t="s">
        <v>308</v>
      </c>
    </row>
    <row r="57" customFormat="false" ht="60" hidden="false" customHeight="true" outlineLevel="0" collapsed="false">
      <c r="A57" s="12" t="s">
        <v>72</v>
      </c>
      <c r="B57" s="12" t="s">
        <v>309</v>
      </c>
      <c r="C57" s="13" t="s">
        <v>273</v>
      </c>
      <c r="D57" s="13" t="s">
        <v>305</v>
      </c>
      <c r="E57" s="13" t="s">
        <v>310</v>
      </c>
      <c r="F57" s="12" t="s">
        <v>274</v>
      </c>
      <c r="G57" s="12" t="s">
        <v>276</v>
      </c>
      <c r="H57" s="13" t="s">
        <v>311</v>
      </c>
    </row>
    <row r="58" customFormat="false" ht="60" hidden="false" customHeight="true" outlineLevel="0" collapsed="false">
      <c r="A58" s="12" t="s">
        <v>72</v>
      </c>
      <c r="B58" s="12" t="s">
        <v>312</v>
      </c>
      <c r="C58" s="13" t="s">
        <v>313</v>
      </c>
      <c r="D58" s="13" t="s">
        <v>305</v>
      </c>
      <c r="E58" s="13" t="s">
        <v>310</v>
      </c>
      <c r="F58" s="12" t="s">
        <v>274</v>
      </c>
      <c r="G58" s="12" t="s">
        <v>276</v>
      </c>
      <c r="H58" s="13" t="s">
        <v>314</v>
      </c>
    </row>
    <row r="59" customFormat="false" ht="60" hidden="false" customHeight="true" outlineLevel="0" collapsed="false">
      <c r="A59" s="12" t="s">
        <v>72</v>
      </c>
      <c r="B59" s="12" t="s">
        <v>310</v>
      </c>
      <c r="C59" s="13" t="s">
        <v>273</v>
      </c>
      <c r="D59" s="13" t="s">
        <v>307</v>
      </c>
      <c r="E59" s="13" t="s">
        <v>274</v>
      </c>
      <c r="F59" s="12" t="s">
        <v>274</v>
      </c>
      <c r="G59" s="12" t="s">
        <v>302</v>
      </c>
      <c r="H59" s="13" t="s">
        <v>315</v>
      </c>
    </row>
    <row r="60" customFormat="false" ht="60" hidden="false" customHeight="true" outlineLevel="0" collapsed="false">
      <c r="A60" s="12" t="s">
        <v>81</v>
      </c>
      <c r="B60" s="12" t="s">
        <v>272</v>
      </c>
      <c r="C60" s="13" t="s">
        <v>273</v>
      </c>
      <c r="D60" s="13" t="s">
        <v>274</v>
      </c>
      <c r="E60" s="13" t="s">
        <v>328</v>
      </c>
      <c r="F60" s="12" t="s">
        <v>274</v>
      </c>
      <c r="G60" s="12" t="s">
        <v>276</v>
      </c>
      <c r="H60" s="13" t="s">
        <v>277</v>
      </c>
    </row>
    <row r="61" customFormat="false" ht="60" hidden="false" customHeight="true" outlineLevel="0" collapsed="false">
      <c r="A61" s="12" t="s">
        <v>81</v>
      </c>
      <c r="B61" s="12" t="s">
        <v>328</v>
      </c>
      <c r="C61" s="13" t="s">
        <v>278</v>
      </c>
      <c r="D61" s="13" t="s">
        <v>272</v>
      </c>
      <c r="E61" s="13" t="s">
        <v>279</v>
      </c>
      <c r="F61" s="12" t="s">
        <v>274</v>
      </c>
      <c r="G61" s="12" t="s">
        <v>276</v>
      </c>
      <c r="H61" s="13" t="s">
        <v>329</v>
      </c>
    </row>
    <row r="62" customFormat="false" ht="60" hidden="false" customHeight="true" outlineLevel="0" collapsed="false">
      <c r="A62" s="12" t="s">
        <v>81</v>
      </c>
      <c r="B62" s="12" t="s">
        <v>279</v>
      </c>
      <c r="C62" s="13" t="s">
        <v>281</v>
      </c>
      <c r="D62" s="13" t="s">
        <v>328</v>
      </c>
      <c r="E62" s="13" t="s">
        <v>282</v>
      </c>
      <c r="F62" s="12" t="s">
        <v>274</v>
      </c>
      <c r="G62" s="12" t="s">
        <v>276</v>
      </c>
      <c r="H62" s="13" t="s">
        <v>283</v>
      </c>
    </row>
    <row r="63" customFormat="false" ht="60" hidden="false" customHeight="true" outlineLevel="0" collapsed="false">
      <c r="A63" s="12" t="s">
        <v>81</v>
      </c>
      <c r="B63" s="12" t="s">
        <v>284</v>
      </c>
      <c r="C63" s="13" t="s">
        <v>273</v>
      </c>
      <c r="D63" s="13" t="s">
        <v>279</v>
      </c>
      <c r="E63" s="13" t="s">
        <v>285</v>
      </c>
      <c r="F63" s="12" t="s">
        <v>274</v>
      </c>
      <c r="G63" s="12" t="s">
        <v>276</v>
      </c>
      <c r="H63" s="13" t="s">
        <v>286</v>
      </c>
    </row>
    <row r="64" customFormat="false" ht="60" hidden="false" customHeight="true" outlineLevel="0" collapsed="false">
      <c r="A64" s="12" t="s">
        <v>81</v>
      </c>
      <c r="B64" s="12" t="s">
        <v>287</v>
      </c>
      <c r="C64" s="13" t="s">
        <v>288</v>
      </c>
      <c r="D64" s="13" t="s">
        <v>279</v>
      </c>
      <c r="E64" s="13" t="s">
        <v>289</v>
      </c>
      <c r="F64" s="12" t="s">
        <v>274</v>
      </c>
      <c r="G64" s="12" t="s">
        <v>276</v>
      </c>
      <c r="H64" s="13" t="s">
        <v>290</v>
      </c>
    </row>
    <row r="65" customFormat="false" ht="60" hidden="false" customHeight="true" outlineLevel="0" collapsed="false">
      <c r="A65" s="12" t="s">
        <v>81</v>
      </c>
      <c r="B65" s="12" t="s">
        <v>291</v>
      </c>
      <c r="C65" s="13" t="s">
        <v>292</v>
      </c>
      <c r="D65" s="13" t="s">
        <v>284</v>
      </c>
      <c r="E65" s="13" t="s">
        <v>289</v>
      </c>
      <c r="F65" s="12" t="s">
        <v>293</v>
      </c>
      <c r="G65" s="12" t="s">
        <v>276</v>
      </c>
      <c r="H65" s="13" t="s">
        <v>294</v>
      </c>
    </row>
    <row r="66" customFormat="false" ht="60" hidden="false" customHeight="true" outlineLevel="0" collapsed="false">
      <c r="A66" s="12" t="s">
        <v>81</v>
      </c>
      <c r="B66" s="12" t="s">
        <v>295</v>
      </c>
      <c r="C66" s="13" t="s">
        <v>296</v>
      </c>
      <c r="D66" s="13" t="s">
        <v>284</v>
      </c>
      <c r="E66" s="13" t="s">
        <v>289</v>
      </c>
      <c r="F66" s="12" t="s">
        <v>293</v>
      </c>
      <c r="G66" s="12" t="s">
        <v>276</v>
      </c>
      <c r="H66" s="13" t="s">
        <v>294</v>
      </c>
    </row>
    <row r="67" customFormat="false" ht="60" hidden="false" customHeight="true" outlineLevel="0" collapsed="false">
      <c r="A67" s="12" t="s">
        <v>81</v>
      </c>
      <c r="B67" s="12" t="s">
        <v>297</v>
      </c>
      <c r="C67" s="13" t="s">
        <v>298</v>
      </c>
      <c r="D67" s="13" t="s">
        <v>284</v>
      </c>
      <c r="E67" s="13" t="s">
        <v>289</v>
      </c>
      <c r="F67" s="12" t="s">
        <v>293</v>
      </c>
      <c r="G67" s="12" t="s">
        <v>276</v>
      </c>
      <c r="H67" s="13" t="s">
        <v>294</v>
      </c>
    </row>
    <row r="68" customFormat="false" ht="60" hidden="false" customHeight="true" outlineLevel="0" collapsed="false">
      <c r="A68" s="12" t="s">
        <v>81</v>
      </c>
      <c r="B68" s="12" t="s">
        <v>289</v>
      </c>
      <c r="C68" s="13" t="s">
        <v>299</v>
      </c>
      <c r="D68" s="13" t="s">
        <v>300</v>
      </c>
      <c r="E68" s="13" t="s">
        <v>330</v>
      </c>
      <c r="F68" s="12" t="s">
        <v>274</v>
      </c>
      <c r="G68" s="12" t="s">
        <v>302</v>
      </c>
      <c r="H68" s="13" t="s">
        <v>303</v>
      </c>
    </row>
    <row r="69" customFormat="false" ht="60" hidden="false" customHeight="true" outlineLevel="0" collapsed="false">
      <c r="A69" s="12" t="s">
        <v>81</v>
      </c>
      <c r="B69" s="12" t="s">
        <v>330</v>
      </c>
      <c r="C69" s="13" t="s">
        <v>304</v>
      </c>
      <c r="D69" s="13" t="s">
        <v>289</v>
      </c>
      <c r="E69" s="13" t="s">
        <v>305</v>
      </c>
      <c r="F69" s="12" t="s">
        <v>274</v>
      </c>
      <c r="G69" s="12" t="s">
        <v>276</v>
      </c>
      <c r="H69" s="13" t="s">
        <v>331</v>
      </c>
    </row>
    <row r="70" customFormat="false" ht="60" hidden="false" customHeight="true" outlineLevel="0" collapsed="false">
      <c r="A70" s="12" t="s">
        <v>81</v>
      </c>
      <c r="B70" s="12" t="s">
        <v>305</v>
      </c>
      <c r="C70" s="13" t="s">
        <v>281</v>
      </c>
      <c r="D70" s="13" t="s">
        <v>330</v>
      </c>
      <c r="E70" s="13" t="s">
        <v>307</v>
      </c>
      <c r="F70" s="12" t="s">
        <v>274</v>
      </c>
      <c r="G70" s="12" t="s">
        <v>276</v>
      </c>
      <c r="H70" s="13" t="s">
        <v>308</v>
      </c>
    </row>
    <row r="71" customFormat="false" ht="60" hidden="false" customHeight="true" outlineLevel="0" collapsed="false">
      <c r="A71" s="12" t="s">
        <v>81</v>
      </c>
      <c r="B71" s="12" t="s">
        <v>309</v>
      </c>
      <c r="C71" s="13" t="s">
        <v>273</v>
      </c>
      <c r="D71" s="13" t="s">
        <v>305</v>
      </c>
      <c r="E71" s="13" t="s">
        <v>310</v>
      </c>
      <c r="F71" s="12" t="s">
        <v>274</v>
      </c>
      <c r="G71" s="12" t="s">
        <v>276</v>
      </c>
      <c r="H71" s="13" t="s">
        <v>311</v>
      </c>
    </row>
    <row r="72" customFormat="false" ht="60" hidden="false" customHeight="true" outlineLevel="0" collapsed="false">
      <c r="A72" s="12" t="s">
        <v>81</v>
      </c>
      <c r="B72" s="12" t="s">
        <v>312</v>
      </c>
      <c r="C72" s="13" t="s">
        <v>313</v>
      </c>
      <c r="D72" s="13" t="s">
        <v>305</v>
      </c>
      <c r="E72" s="13" t="s">
        <v>310</v>
      </c>
      <c r="F72" s="12" t="s">
        <v>274</v>
      </c>
      <c r="G72" s="12" t="s">
        <v>276</v>
      </c>
      <c r="H72" s="13" t="s">
        <v>314</v>
      </c>
    </row>
    <row r="73" customFormat="false" ht="60" hidden="false" customHeight="true" outlineLevel="0" collapsed="false">
      <c r="A73" s="12" t="s">
        <v>81</v>
      </c>
      <c r="B73" s="12" t="s">
        <v>310</v>
      </c>
      <c r="C73" s="13" t="s">
        <v>273</v>
      </c>
      <c r="D73" s="13" t="s">
        <v>307</v>
      </c>
      <c r="E73" s="13" t="s">
        <v>274</v>
      </c>
      <c r="F73" s="12" t="s">
        <v>274</v>
      </c>
      <c r="G73" s="12" t="s">
        <v>302</v>
      </c>
      <c r="H73" s="13" t="s">
        <v>315</v>
      </c>
    </row>
    <row r="74" customFormat="false" ht="60" hidden="false" customHeight="true" outlineLevel="0" collapsed="false">
      <c r="A74" s="12" t="s">
        <v>88</v>
      </c>
      <c r="B74" s="12" t="s">
        <v>272</v>
      </c>
      <c r="C74" s="13" t="s">
        <v>273</v>
      </c>
      <c r="D74" s="13" t="s">
        <v>274</v>
      </c>
      <c r="E74" s="13" t="s">
        <v>332</v>
      </c>
      <c r="F74" s="12" t="s">
        <v>274</v>
      </c>
      <c r="G74" s="12" t="s">
        <v>276</v>
      </c>
      <c r="H74" s="13" t="s">
        <v>277</v>
      </c>
    </row>
    <row r="75" customFormat="false" ht="60" hidden="false" customHeight="true" outlineLevel="0" collapsed="false">
      <c r="A75" s="12" t="s">
        <v>88</v>
      </c>
      <c r="B75" s="12" t="s">
        <v>332</v>
      </c>
      <c r="C75" s="13" t="s">
        <v>278</v>
      </c>
      <c r="D75" s="13" t="s">
        <v>272</v>
      </c>
      <c r="E75" s="13" t="s">
        <v>279</v>
      </c>
      <c r="F75" s="12" t="s">
        <v>274</v>
      </c>
      <c r="G75" s="12" t="s">
        <v>276</v>
      </c>
      <c r="H75" s="13" t="s">
        <v>333</v>
      </c>
    </row>
    <row r="76" customFormat="false" ht="60" hidden="false" customHeight="true" outlineLevel="0" collapsed="false">
      <c r="A76" s="12" t="s">
        <v>88</v>
      </c>
      <c r="B76" s="12" t="s">
        <v>279</v>
      </c>
      <c r="C76" s="13" t="s">
        <v>281</v>
      </c>
      <c r="D76" s="13" t="s">
        <v>332</v>
      </c>
      <c r="E76" s="13" t="s">
        <v>282</v>
      </c>
      <c r="F76" s="12" t="s">
        <v>274</v>
      </c>
      <c r="G76" s="12" t="s">
        <v>276</v>
      </c>
      <c r="H76" s="13" t="s">
        <v>283</v>
      </c>
    </row>
    <row r="77" customFormat="false" ht="60" hidden="false" customHeight="true" outlineLevel="0" collapsed="false">
      <c r="A77" s="12" t="s">
        <v>88</v>
      </c>
      <c r="B77" s="12" t="s">
        <v>284</v>
      </c>
      <c r="C77" s="13" t="s">
        <v>273</v>
      </c>
      <c r="D77" s="13" t="s">
        <v>279</v>
      </c>
      <c r="E77" s="13" t="s">
        <v>285</v>
      </c>
      <c r="F77" s="12" t="s">
        <v>274</v>
      </c>
      <c r="G77" s="12" t="s">
        <v>276</v>
      </c>
      <c r="H77" s="13" t="s">
        <v>286</v>
      </c>
    </row>
    <row r="78" customFormat="false" ht="60" hidden="false" customHeight="true" outlineLevel="0" collapsed="false">
      <c r="A78" s="12" t="s">
        <v>88</v>
      </c>
      <c r="B78" s="12" t="s">
        <v>287</v>
      </c>
      <c r="C78" s="13" t="s">
        <v>288</v>
      </c>
      <c r="D78" s="13" t="s">
        <v>279</v>
      </c>
      <c r="E78" s="13" t="s">
        <v>289</v>
      </c>
      <c r="F78" s="12" t="s">
        <v>274</v>
      </c>
      <c r="G78" s="12" t="s">
        <v>276</v>
      </c>
      <c r="H78" s="13" t="s">
        <v>290</v>
      </c>
    </row>
    <row r="79" customFormat="false" ht="60" hidden="false" customHeight="true" outlineLevel="0" collapsed="false">
      <c r="A79" s="12" t="s">
        <v>88</v>
      </c>
      <c r="B79" s="12" t="s">
        <v>291</v>
      </c>
      <c r="C79" s="13" t="s">
        <v>292</v>
      </c>
      <c r="D79" s="13" t="s">
        <v>284</v>
      </c>
      <c r="E79" s="13" t="s">
        <v>289</v>
      </c>
      <c r="F79" s="12" t="s">
        <v>293</v>
      </c>
      <c r="G79" s="12" t="s">
        <v>276</v>
      </c>
      <c r="H79" s="13" t="s">
        <v>294</v>
      </c>
    </row>
    <row r="80" customFormat="false" ht="60" hidden="false" customHeight="true" outlineLevel="0" collapsed="false">
      <c r="A80" s="12" t="s">
        <v>88</v>
      </c>
      <c r="B80" s="12" t="s">
        <v>295</v>
      </c>
      <c r="C80" s="13" t="s">
        <v>296</v>
      </c>
      <c r="D80" s="13" t="s">
        <v>284</v>
      </c>
      <c r="E80" s="13" t="s">
        <v>289</v>
      </c>
      <c r="F80" s="12" t="s">
        <v>293</v>
      </c>
      <c r="G80" s="12" t="s">
        <v>276</v>
      </c>
      <c r="H80" s="13" t="s">
        <v>294</v>
      </c>
    </row>
    <row r="81" customFormat="false" ht="60" hidden="false" customHeight="true" outlineLevel="0" collapsed="false">
      <c r="A81" s="12" t="s">
        <v>88</v>
      </c>
      <c r="B81" s="12" t="s">
        <v>297</v>
      </c>
      <c r="C81" s="13" t="s">
        <v>298</v>
      </c>
      <c r="D81" s="13" t="s">
        <v>284</v>
      </c>
      <c r="E81" s="13" t="s">
        <v>289</v>
      </c>
      <c r="F81" s="12" t="s">
        <v>293</v>
      </c>
      <c r="G81" s="12" t="s">
        <v>276</v>
      </c>
      <c r="H81" s="13" t="s">
        <v>294</v>
      </c>
    </row>
    <row r="82" customFormat="false" ht="60" hidden="false" customHeight="true" outlineLevel="0" collapsed="false">
      <c r="A82" s="12" t="s">
        <v>88</v>
      </c>
      <c r="B82" s="12" t="s">
        <v>289</v>
      </c>
      <c r="C82" s="13" t="s">
        <v>299</v>
      </c>
      <c r="D82" s="13" t="s">
        <v>300</v>
      </c>
      <c r="E82" s="13" t="s">
        <v>334</v>
      </c>
      <c r="F82" s="12" t="s">
        <v>274</v>
      </c>
      <c r="G82" s="12" t="s">
        <v>302</v>
      </c>
      <c r="H82" s="13" t="s">
        <v>303</v>
      </c>
    </row>
    <row r="83" customFormat="false" ht="60" hidden="false" customHeight="true" outlineLevel="0" collapsed="false">
      <c r="A83" s="12" t="s">
        <v>88</v>
      </c>
      <c r="B83" s="12" t="s">
        <v>334</v>
      </c>
      <c r="C83" s="13" t="s">
        <v>304</v>
      </c>
      <c r="D83" s="13" t="s">
        <v>289</v>
      </c>
      <c r="E83" s="13" t="s">
        <v>305</v>
      </c>
      <c r="F83" s="12" t="s">
        <v>274</v>
      </c>
      <c r="G83" s="12" t="s">
        <v>276</v>
      </c>
      <c r="H83" s="13" t="s">
        <v>335</v>
      </c>
    </row>
    <row r="84" customFormat="false" ht="60" hidden="false" customHeight="true" outlineLevel="0" collapsed="false">
      <c r="A84" s="12" t="s">
        <v>88</v>
      </c>
      <c r="B84" s="12" t="s">
        <v>305</v>
      </c>
      <c r="C84" s="13" t="s">
        <v>281</v>
      </c>
      <c r="D84" s="13" t="s">
        <v>334</v>
      </c>
      <c r="E84" s="13" t="s">
        <v>307</v>
      </c>
      <c r="F84" s="12" t="s">
        <v>274</v>
      </c>
      <c r="G84" s="12" t="s">
        <v>276</v>
      </c>
      <c r="H84" s="13" t="s">
        <v>308</v>
      </c>
    </row>
    <row r="85" customFormat="false" ht="60" hidden="false" customHeight="true" outlineLevel="0" collapsed="false">
      <c r="A85" s="12" t="s">
        <v>88</v>
      </c>
      <c r="B85" s="12" t="s">
        <v>309</v>
      </c>
      <c r="C85" s="13" t="s">
        <v>273</v>
      </c>
      <c r="D85" s="13" t="s">
        <v>305</v>
      </c>
      <c r="E85" s="13" t="s">
        <v>310</v>
      </c>
      <c r="F85" s="12" t="s">
        <v>274</v>
      </c>
      <c r="G85" s="12" t="s">
        <v>276</v>
      </c>
      <c r="H85" s="13" t="s">
        <v>311</v>
      </c>
    </row>
    <row r="86" customFormat="false" ht="60" hidden="false" customHeight="true" outlineLevel="0" collapsed="false">
      <c r="A86" s="12" t="s">
        <v>88</v>
      </c>
      <c r="B86" s="12" t="s">
        <v>312</v>
      </c>
      <c r="C86" s="13" t="s">
        <v>313</v>
      </c>
      <c r="D86" s="13" t="s">
        <v>305</v>
      </c>
      <c r="E86" s="13" t="s">
        <v>310</v>
      </c>
      <c r="F86" s="12" t="s">
        <v>274</v>
      </c>
      <c r="G86" s="12" t="s">
        <v>276</v>
      </c>
      <c r="H86" s="13" t="s">
        <v>314</v>
      </c>
    </row>
    <row r="87" customFormat="false" ht="60" hidden="false" customHeight="true" outlineLevel="0" collapsed="false">
      <c r="A87" s="12" t="s">
        <v>88</v>
      </c>
      <c r="B87" s="12" t="s">
        <v>310</v>
      </c>
      <c r="C87" s="13" t="s">
        <v>273</v>
      </c>
      <c r="D87" s="13" t="s">
        <v>307</v>
      </c>
      <c r="E87" s="13" t="s">
        <v>274</v>
      </c>
      <c r="F87" s="12" t="s">
        <v>274</v>
      </c>
      <c r="G87" s="12" t="s">
        <v>302</v>
      </c>
      <c r="H87" s="13" t="s">
        <v>315</v>
      </c>
    </row>
    <row r="88" customFormat="false" ht="60" hidden="false" customHeight="true" outlineLevel="0" collapsed="false">
      <c r="A88" s="12" t="s">
        <v>96</v>
      </c>
      <c r="B88" s="12" t="s">
        <v>272</v>
      </c>
      <c r="C88" s="13" t="s">
        <v>273</v>
      </c>
      <c r="D88" s="13" t="s">
        <v>274</v>
      </c>
      <c r="E88" s="13" t="s">
        <v>336</v>
      </c>
      <c r="F88" s="12" t="s">
        <v>274</v>
      </c>
      <c r="G88" s="12" t="s">
        <v>276</v>
      </c>
      <c r="H88" s="13" t="s">
        <v>277</v>
      </c>
    </row>
    <row r="89" customFormat="false" ht="60" hidden="false" customHeight="true" outlineLevel="0" collapsed="false">
      <c r="A89" s="12" t="s">
        <v>96</v>
      </c>
      <c r="B89" s="12" t="s">
        <v>336</v>
      </c>
      <c r="C89" s="13" t="s">
        <v>278</v>
      </c>
      <c r="D89" s="13" t="s">
        <v>272</v>
      </c>
      <c r="E89" s="13" t="s">
        <v>279</v>
      </c>
      <c r="F89" s="12" t="s">
        <v>274</v>
      </c>
      <c r="G89" s="12" t="s">
        <v>276</v>
      </c>
      <c r="H89" s="13" t="s">
        <v>337</v>
      </c>
    </row>
    <row r="90" customFormat="false" ht="60" hidden="false" customHeight="true" outlineLevel="0" collapsed="false">
      <c r="A90" s="12" t="s">
        <v>96</v>
      </c>
      <c r="B90" s="12" t="s">
        <v>279</v>
      </c>
      <c r="C90" s="13" t="s">
        <v>281</v>
      </c>
      <c r="D90" s="13" t="s">
        <v>336</v>
      </c>
      <c r="E90" s="13" t="s">
        <v>282</v>
      </c>
      <c r="F90" s="12" t="s">
        <v>274</v>
      </c>
      <c r="G90" s="12" t="s">
        <v>276</v>
      </c>
      <c r="H90" s="13" t="s">
        <v>283</v>
      </c>
    </row>
    <row r="91" customFormat="false" ht="60" hidden="false" customHeight="true" outlineLevel="0" collapsed="false">
      <c r="A91" s="12" t="s">
        <v>96</v>
      </c>
      <c r="B91" s="12" t="s">
        <v>284</v>
      </c>
      <c r="C91" s="13" t="s">
        <v>273</v>
      </c>
      <c r="D91" s="13" t="s">
        <v>279</v>
      </c>
      <c r="E91" s="13" t="s">
        <v>285</v>
      </c>
      <c r="F91" s="12" t="s">
        <v>274</v>
      </c>
      <c r="G91" s="12" t="s">
        <v>276</v>
      </c>
      <c r="H91" s="13" t="s">
        <v>286</v>
      </c>
    </row>
    <row r="92" customFormat="false" ht="60" hidden="false" customHeight="true" outlineLevel="0" collapsed="false">
      <c r="A92" s="12" t="s">
        <v>96</v>
      </c>
      <c r="B92" s="12" t="s">
        <v>287</v>
      </c>
      <c r="C92" s="13" t="s">
        <v>288</v>
      </c>
      <c r="D92" s="13" t="s">
        <v>279</v>
      </c>
      <c r="E92" s="13" t="s">
        <v>289</v>
      </c>
      <c r="F92" s="12" t="s">
        <v>274</v>
      </c>
      <c r="G92" s="12" t="s">
        <v>276</v>
      </c>
      <c r="H92" s="13" t="s">
        <v>290</v>
      </c>
    </row>
    <row r="93" customFormat="false" ht="60" hidden="false" customHeight="true" outlineLevel="0" collapsed="false">
      <c r="A93" s="12" t="s">
        <v>96</v>
      </c>
      <c r="B93" s="12" t="s">
        <v>291</v>
      </c>
      <c r="C93" s="13" t="s">
        <v>292</v>
      </c>
      <c r="D93" s="13" t="s">
        <v>284</v>
      </c>
      <c r="E93" s="13" t="s">
        <v>289</v>
      </c>
      <c r="F93" s="12" t="s">
        <v>293</v>
      </c>
      <c r="G93" s="12" t="s">
        <v>276</v>
      </c>
      <c r="H93" s="13" t="s">
        <v>294</v>
      </c>
    </row>
    <row r="94" customFormat="false" ht="60" hidden="false" customHeight="true" outlineLevel="0" collapsed="false">
      <c r="A94" s="12" t="s">
        <v>96</v>
      </c>
      <c r="B94" s="12" t="s">
        <v>295</v>
      </c>
      <c r="C94" s="13" t="s">
        <v>296</v>
      </c>
      <c r="D94" s="13" t="s">
        <v>284</v>
      </c>
      <c r="E94" s="13" t="s">
        <v>289</v>
      </c>
      <c r="F94" s="12" t="s">
        <v>293</v>
      </c>
      <c r="G94" s="12" t="s">
        <v>276</v>
      </c>
      <c r="H94" s="13" t="s">
        <v>294</v>
      </c>
    </row>
    <row r="95" customFormat="false" ht="60" hidden="false" customHeight="true" outlineLevel="0" collapsed="false">
      <c r="A95" s="12" t="s">
        <v>96</v>
      </c>
      <c r="B95" s="12" t="s">
        <v>297</v>
      </c>
      <c r="C95" s="13" t="s">
        <v>298</v>
      </c>
      <c r="D95" s="13" t="s">
        <v>284</v>
      </c>
      <c r="E95" s="13" t="s">
        <v>289</v>
      </c>
      <c r="F95" s="12" t="s">
        <v>293</v>
      </c>
      <c r="G95" s="12" t="s">
        <v>276</v>
      </c>
      <c r="H95" s="13" t="s">
        <v>294</v>
      </c>
    </row>
    <row r="96" customFormat="false" ht="60" hidden="false" customHeight="true" outlineLevel="0" collapsed="false">
      <c r="A96" s="12" t="s">
        <v>96</v>
      </c>
      <c r="B96" s="12" t="s">
        <v>289</v>
      </c>
      <c r="C96" s="13" t="s">
        <v>299</v>
      </c>
      <c r="D96" s="13" t="s">
        <v>300</v>
      </c>
      <c r="E96" s="13" t="s">
        <v>338</v>
      </c>
      <c r="F96" s="12" t="s">
        <v>274</v>
      </c>
      <c r="G96" s="12" t="s">
        <v>302</v>
      </c>
      <c r="H96" s="13" t="s">
        <v>303</v>
      </c>
    </row>
    <row r="97" customFormat="false" ht="60" hidden="false" customHeight="true" outlineLevel="0" collapsed="false">
      <c r="A97" s="12" t="s">
        <v>96</v>
      </c>
      <c r="B97" s="12" t="s">
        <v>338</v>
      </c>
      <c r="C97" s="13" t="s">
        <v>304</v>
      </c>
      <c r="D97" s="13" t="s">
        <v>289</v>
      </c>
      <c r="E97" s="13" t="s">
        <v>305</v>
      </c>
      <c r="F97" s="12" t="s">
        <v>274</v>
      </c>
      <c r="G97" s="12" t="s">
        <v>276</v>
      </c>
      <c r="H97" s="13" t="s">
        <v>339</v>
      </c>
    </row>
    <row r="98" customFormat="false" ht="60" hidden="false" customHeight="true" outlineLevel="0" collapsed="false">
      <c r="A98" s="12" t="s">
        <v>96</v>
      </c>
      <c r="B98" s="12" t="s">
        <v>305</v>
      </c>
      <c r="C98" s="13" t="s">
        <v>281</v>
      </c>
      <c r="D98" s="13" t="s">
        <v>338</v>
      </c>
      <c r="E98" s="13" t="s">
        <v>307</v>
      </c>
      <c r="F98" s="12" t="s">
        <v>274</v>
      </c>
      <c r="G98" s="12" t="s">
        <v>276</v>
      </c>
      <c r="H98" s="13" t="s">
        <v>308</v>
      </c>
    </row>
    <row r="99" customFormat="false" ht="60" hidden="false" customHeight="true" outlineLevel="0" collapsed="false">
      <c r="A99" s="12" t="s">
        <v>96</v>
      </c>
      <c r="B99" s="12" t="s">
        <v>309</v>
      </c>
      <c r="C99" s="13" t="s">
        <v>273</v>
      </c>
      <c r="D99" s="13" t="s">
        <v>305</v>
      </c>
      <c r="E99" s="13" t="s">
        <v>310</v>
      </c>
      <c r="F99" s="12" t="s">
        <v>274</v>
      </c>
      <c r="G99" s="12" t="s">
        <v>276</v>
      </c>
      <c r="H99" s="13" t="s">
        <v>311</v>
      </c>
    </row>
    <row r="100" customFormat="false" ht="60" hidden="false" customHeight="true" outlineLevel="0" collapsed="false">
      <c r="A100" s="12" t="s">
        <v>96</v>
      </c>
      <c r="B100" s="12" t="s">
        <v>312</v>
      </c>
      <c r="C100" s="13" t="s">
        <v>313</v>
      </c>
      <c r="D100" s="13" t="s">
        <v>305</v>
      </c>
      <c r="E100" s="13" t="s">
        <v>310</v>
      </c>
      <c r="F100" s="12" t="s">
        <v>274</v>
      </c>
      <c r="G100" s="12" t="s">
        <v>276</v>
      </c>
      <c r="H100" s="13" t="s">
        <v>314</v>
      </c>
    </row>
    <row r="101" customFormat="false" ht="60" hidden="false" customHeight="true" outlineLevel="0" collapsed="false">
      <c r="A101" s="12" t="s">
        <v>96</v>
      </c>
      <c r="B101" s="12" t="s">
        <v>310</v>
      </c>
      <c r="C101" s="13" t="s">
        <v>273</v>
      </c>
      <c r="D101" s="13" t="s">
        <v>307</v>
      </c>
      <c r="E101" s="13" t="s">
        <v>274</v>
      </c>
      <c r="F101" s="12" t="s">
        <v>274</v>
      </c>
      <c r="G101" s="12" t="s">
        <v>302</v>
      </c>
      <c r="H101" s="13" t="s">
        <v>315</v>
      </c>
    </row>
    <row r="102" customFormat="false" ht="60" hidden="false" customHeight="true" outlineLevel="0" collapsed="false">
      <c r="A102" s="12" t="s">
        <v>102</v>
      </c>
      <c r="B102" s="12" t="s">
        <v>272</v>
      </c>
      <c r="C102" s="13" t="s">
        <v>273</v>
      </c>
      <c r="D102" s="13" t="s">
        <v>274</v>
      </c>
      <c r="E102" s="13" t="s">
        <v>340</v>
      </c>
      <c r="F102" s="12" t="s">
        <v>274</v>
      </c>
      <c r="G102" s="12" t="s">
        <v>276</v>
      </c>
      <c r="H102" s="13" t="s">
        <v>277</v>
      </c>
    </row>
    <row r="103" customFormat="false" ht="60" hidden="false" customHeight="true" outlineLevel="0" collapsed="false">
      <c r="A103" s="12" t="s">
        <v>102</v>
      </c>
      <c r="B103" s="12" t="s">
        <v>341</v>
      </c>
      <c r="C103" s="13" t="s">
        <v>342</v>
      </c>
      <c r="D103" s="13" t="s">
        <v>272</v>
      </c>
      <c r="E103" s="13" t="s">
        <v>343</v>
      </c>
      <c r="F103" s="12" t="s">
        <v>344</v>
      </c>
      <c r="G103" s="12" t="s">
        <v>276</v>
      </c>
      <c r="H103" s="13" t="s">
        <v>345</v>
      </c>
    </row>
    <row r="104" customFormat="false" ht="60" hidden="false" customHeight="true" outlineLevel="0" collapsed="false">
      <c r="A104" s="12" t="s">
        <v>102</v>
      </c>
      <c r="B104" s="12" t="s">
        <v>346</v>
      </c>
      <c r="C104" s="13" t="s">
        <v>342</v>
      </c>
      <c r="D104" s="13" t="s">
        <v>272</v>
      </c>
      <c r="E104" s="13" t="s">
        <v>343</v>
      </c>
      <c r="F104" s="12" t="s">
        <v>344</v>
      </c>
      <c r="G104" s="12" t="s">
        <v>276</v>
      </c>
      <c r="H104" s="13" t="s">
        <v>345</v>
      </c>
    </row>
    <row r="105" customFormat="false" ht="60" hidden="false" customHeight="true" outlineLevel="0" collapsed="false">
      <c r="A105" s="12" t="s">
        <v>102</v>
      </c>
      <c r="B105" s="12" t="s">
        <v>347</v>
      </c>
      <c r="C105" s="13" t="s">
        <v>342</v>
      </c>
      <c r="D105" s="13" t="s">
        <v>272</v>
      </c>
      <c r="E105" s="13" t="s">
        <v>343</v>
      </c>
      <c r="F105" s="12" t="s">
        <v>344</v>
      </c>
      <c r="G105" s="12" t="s">
        <v>276</v>
      </c>
      <c r="H105" s="13" t="s">
        <v>345</v>
      </c>
    </row>
    <row r="106" customFormat="false" ht="60" hidden="false" customHeight="true" outlineLevel="0" collapsed="false">
      <c r="A106" s="12" t="s">
        <v>102</v>
      </c>
      <c r="B106" s="12" t="s">
        <v>348</v>
      </c>
      <c r="C106" s="13" t="s">
        <v>342</v>
      </c>
      <c r="D106" s="13" t="s">
        <v>272</v>
      </c>
      <c r="E106" s="13" t="s">
        <v>343</v>
      </c>
      <c r="F106" s="12" t="s">
        <v>344</v>
      </c>
      <c r="G106" s="12" t="s">
        <v>276</v>
      </c>
      <c r="H106" s="13" t="s">
        <v>345</v>
      </c>
    </row>
    <row r="107" customFormat="false" ht="60" hidden="false" customHeight="true" outlineLevel="0" collapsed="false">
      <c r="A107" s="12" t="s">
        <v>102</v>
      </c>
      <c r="B107" s="12" t="s">
        <v>343</v>
      </c>
      <c r="C107" s="13" t="s">
        <v>281</v>
      </c>
      <c r="D107" s="13" t="s">
        <v>349</v>
      </c>
      <c r="E107" s="13" t="s">
        <v>350</v>
      </c>
      <c r="F107" s="12" t="s">
        <v>274</v>
      </c>
      <c r="G107" s="12" t="s">
        <v>276</v>
      </c>
      <c r="H107" s="13" t="s">
        <v>351</v>
      </c>
    </row>
    <row r="108" customFormat="false" ht="60" hidden="false" customHeight="true" outlineLevel="0" collapsed="false">
      <c r="A108" s="12" t="s">
        <v>102</v>
      </c>
      <c r="B108" s="12" t="s">
        <v>352</v>
      </c>
      <c r="C108" s="13" t="s">
        <v>273</v>
      </c>
      <c r="D108" s="13" t="s">
        <v>343</v>
      </c>
      <c r="E108" s="13" t="s">
        <v>353</v>
      </c>
      <c r="F108" s="12" t="s">
        <v>274</v>
      </c>
      <c r="G108" s="12" t="s">
        <v>276</v>
      </c>
      <c r="H108" s="13" t="s">
        <v>354</v>
      </c>
    </row>
    <row r="109" customFormat="false" ht="60" hidden="false" customHeight="true" outlineLevel="0" collapsed="false">
      <c r="A109" s="12" t="s">
        <v>102</v>
      </c>
      <c r="B109" s="12" t="s">
        <v>355</v>
      </c>
      <c r="C109" s="13" t="s">
        <v>356</v>
      </c>
      <c r="D109" s="13" t="s">
        <v>343</v>
      </c>
      <c r="E109" s="13" t="s">
        <v>357</v>
      </c>
      <c r="F109" s="12" t="s">
        <v>274</v>
      </c>
      <c r="G109" s="12" t="s">
        <v>276</v>
      </c>
      <c r="H109" s="13" t="s">
        <v>358</v>
      </c>
    </row>
    <row r="110" customFormat="false" ht="60" hidden="false" customHeight="true" outlineLevel="0" collapsed="false">
      <c r="A110" s="12" t="s">
        <v>102</v>
      </c>
      <c r="B110" s="12" t="s">
        <v>353</v>
      </c>
      <c r="C110" s="13" t="s">
        <v>359</v>
      </c>
      <c r="D110" s="13" t="s">
        <v>352</v>
      </c>
      <c r="E110" s="13" t="s">
        <v>360</v>
      </c>
      <c r="F110" s="12" t="s">
        <v>274</v>
      </c>
      <c r="G110" s="12" t="s">
        <v>276</v>
      </c>
      <c r="H110" s="13" t="s">
        <v>361</v>
      </c>
    </row>
    <row r="111" customFormat="false" ht="60" hidden="false" customHeight="true" outlineLevel="0" collapsed="false">
      <c r="A111" s="12" t="s">
        <v>102</v>
      </c>
      <c r="B111" s="12" t="s">
        <v>357</v>
      </c>
      <c r="C111" s="13" t="s">
        <v>362</v>
      </c>
      <c r="D111" s="13" t="s">
        <v>355</v>
      </c>
      <c r="E111" s="13" t="s">
        <v>360</v>
      </c>
      <c r="F111" s="12" t="s">
        <v>274</v>
      </c>
      <c r="G111" s="12" t="s">
        <v>276</v>
      </c>
      <c r="H111" s="13" t="s">
        <v>363</v>
      </c>
    </row>
    <row r="112" customFormat="false" ht="60" hidden="false" customHeight="true" outlineLevel="0" collapsed="false">
      <c r="A112" s="12" t="s">
        <v>102</v>
      </c>
      <c r="B112" s="12" t="s">
        <v>360</v>
      </c>
      <c r="C112" s="13" t="s">
        <v>299</v>
      </c>
      <c r="D112" s="13" t="s">
        <v>364</v>
      </c>
      <c r="E112" s="13" t="s">
        <v>365</v>
      </c>
      <c r="F112" s="12" t="s">
        <v>274</v>
      </c>
      <c r="G112" s="12" t="s">
        <v>302</v>
      </c>
      <c r="H112" s="13" t="s">
        <v>366</v>
      </c>
    </row>
    <row r="113" customFormat="false" ht="60" hidden="false" customHeight="true" outlineLevel="0" collapsed="false">
      <c r="A113" s="12" t="s">
        <v>102</v>
      </c>
      <c r="B113" s="12" t="s">
        <v>365</v>
      </c>
      <c r="C113" s="13" t="s">
        <v>304</v>
      </c>
      <c r="D113" s="13" t="s">
        <v>360</v>
      </c>
      <c r="E113" s="13" t="s">
        <v>367</v>
      </c>
      <c r="F113" s="12" t="s">
        <v>274</v>
      </c>
      <c r="G113" s="12" t="s">
        <v>276</v>
      </c>
      <c r="H113" s="13" t="s">
        <v>368</v>
      </c>
    </row>
    <row r="114" customFormat="false" ht="60" hidden="false" customHeight="true" outlineLevel="0" collapsed="false">
      <c r="A114" s="12" t="s">
        <v>102</v>
      </c>
      <c r="B114" s="12" t="s">
        <v>367</v>
      </c>
      <c r="C114" s="13" t="s">
        <v>369</v>
      </c>
      <c r="D114" s="13" t="s">
        <v>365</v>
      </c>
      <c r="E114" s="13" t="s">
        <v>370</v>
      </c>
      <c r="F114" s="12" t="s">
        <v>274</v>
      </c>
      <c r="G114" s="12" t="s">
        <v>371</v>
      </c>
      <c r="H114" s="13" t="s">
        <v>372</v>
      </c>
    </row>
    <row r="115" customFormat="false" ht="60" hidden="false" customHeight="true" outlineLevel="0" collapsed="false">
      <c r="A115" s="12" t="s">
        <v>102</v>
      </c>
      <c r="B115" s="12" t="s">
        <v>370</v>
      </c>
      <c r="C115" s="13" t="s">
        <v>373</v>
      </c>
      <c r="D115" s="13" t="s">
        <v>367</v>
      </c>
      <c r="E115" s="13" t="s">
        <v>310</v>
      </c>
      <c r="F115" s="12" t="s">
        <v>274</v>
      </c>
      <c r="G115" s="12" t="s">
        <v>371</v>
      </c>
      <c r="H115" s="13" t="s">
        <v>374</v>
      </c>
    </row>
    <row r="116" customFormat="false" ht="60" hidden="false" customHeight="true" outlineLevel="0" collapsed="false">
      <c r="A116" s="12" t="s">
        <v>102</v>
      </c>
      <c r="B116" s="12" t="s">
        <v>310</v>
      </c>
      <c r="C116" s="13" t="s">
        <v>273</v>
      </c>
      <c r="D116" s="13" t="s">
        <v>370</v>
      </c>
      <c r="E116" s="13" t="s">
        <v>274</v>
      </c>
      <c r="F116" s="12" t="s">
        <v>274</v>
      </c>
      <c r="G116" s="12" t="s">
        <v>371</v>
      </c>
      <c r="H116" s="13" t="s">
        <v>315</v>
      </c>
    </row>
    <row r="117" customFormat="false" ht="60" hidden="false" customHeight="true" outlineLevel="0" collapsed="false">
      <c r="A117" s="12" t="s">
        <v>109</v>
      </c>
      <c r="B117" s="12" t="s">
        <v>272</v>
      </c>
      <c r="C117" s="13" t="s">
        <v>273</v>
      </c>
      <c r="D117" s="13" t="s">
        <v>274</v>
      </c>
      <c r="E117" s="13" t="s">
        <v>340</v>
      </c>
      <c r="F117" s="12" t="s">
        <v>274</v>
      </c>
      <c r="G117" s="12" t="s">
        <v>276</v>
      </c>
      <c r="H117" s="13" t="s">
        <v>277</v>
      </c>
    </row>
    <row r="118" customFormat="false" ht="60" hidden="false" customHeight="true" outlineLevel="0" collapsed="false">
      <c r="A118" s="12" t="s">
        <v>109</v>
      </c>
      <c r="B118" s="12" t="s">
        <v>341</v>
      </c>
      <c r="C118" s="13" t="s">
        <v>342</v>
      </c>
      <c r="D118" s="13" t="s">
        <v>272</v>
      </c>
      <c r="E118" s="13" t="s">
        <v>343</v>
      </c>
      <c r="F118" s="12" t="s">
        <v>344</v>
      </c>
      <c r="G118" s="12" t="s">
        <v>276</v>
      </c>
      <c r="H118" s="13" t="s">
        <v>345</v>
      </c>
    </row>
    <row r="119" customFormat="false" ht="60" hidden="false" customHeight="true" outlineLevel="0" collapsed="false">
      <c r="A119" s="12" t="s">
        <v>109</v>
      </c>
      <c r="B119" s="12" t="s">
        <v>346</v>
      </c>
      <c r="C119" s="13" t="s">
        <v>342</v>
      </c>
      <c r="D119" s="13" t="s">
        <v>272</v>
      </c>
      <c r="E119" s="13" t="s">
        <v>343</v>
      </c>
      <c r="F119" s="12" t="s">
        <v>344</v>
      </c>
      <c r="G119" s="12" t="s">
        <v>276</v>
      </c>
      <c r="H119" s="13" t="s">
        <v>345</v>
      </c>
    </row>
    <row r="120" customFormat="false" ht="60" hidden="false" customHeight="true" outlineLevel="0" collapsed="false">
      <c r="A120" s="12" t="s">
        <v>109</v>
      </c>
      <c r="B120" s="12" t="s">
        <v>347</v>
      </c>
      <c r="C120" s="13" t="s">
        <v>342</v>
      </c>
      <c r="D120" s="13" t="s">
        <v>272</v>
      </c>
      <c r="E120" s="13" t="s">
        <v>343</v>
      </c>
      <c r="F120" s="12" t="s">
        <v>344</v>
      </c>
      <c r="G120" s="12" t="s">
        <v>276</v>
      </c>
      <c r="H120" s="13" t="s">
        <v>345</v>
      </c>
    </row>
    <row r="121" customFormat="false" ht="60" hidden="false" customHeight="true" outlineLevel="0" collapsed="false">
      <c r="A121" s="12" t="s">
        <v>109</v>
      </c>
      <c r="B121" s="12" t="s">
        <v>348</v>
      </c>
      <c r="C121" s="13" t="s">
        <v>342</v>
      </c>
      <c r="D121" s="13" t="s">
        <v>272</v>
      </c>
      <c r="E121" s="13" t="s">
        <v>343</v>
      </c>
      <c r="F121" s="12" t="s">
        <v>344</v>
      </c>
      <c r="G121" s="12" t="s">
        <v>276</v>
      </c>
      <c r="H121" s="13" t="s">
        <v>345</v>
      </c>
    </row>
    <row r="122" customFormat="false" ht="60" hidden="false" customHeight="true" outlineLevel="0" collapsed="false">
      <c r="A122" s="12" t="s">
        <v>109</v>
      </c>
      <c r="B122" s="12" t="s">
        <v>343</v>
      </c>
      <c r="C122" s="13" t="s">
        <v>281</v>
      </c>
      <c r="D122" s="13" t="s">
        <v>349</v>
      </c>
      <c r="E122" s="13" t="s">
        <v>350</v>
      </c>
      <c r="F122" s="12" t="s">
        <v>274</v>
      </c>
      <c r="G122" s="12" t="s">
        <v>276</v>
      </c>
      <c r="H122" s="13" t="s">
        <v>351</v>
      </c>
    </row>
    <row r="123" customFormat="false" ht="60" hidden="false" customHeight="true" outlineLevel="0" collapsed="false">
      <c r="A123" s="12" t="s">
        <v>109</v>
      </c>
      <c r="B123" s="12" t="s">
        <v>352</v>
      </c>
      <c r="C123" s="13" t="s">
        <v>273</v>
      </c>
      <c r="D123" s="13" t="s">
        <v>343</v>
      </c>
      <c r="E123" s="13" t="s">
        <v>353</v>
      </c>
      <c r="F123" s="12" t="s">
        <v>274</v>
      </c>
      <c r="G123" s="12" t="s">
        <v>276</v>
      </c>
      <c r="H123" s="13" t="s">
        <v>354</v>
      </c>
    </row>
    <row r="124" customFormat="false" ht="60" hidden="false" customHeight="true" outlineLevel="0" collapsed="false">
      <c r="A124" s="12" t="s">
        <v>109</v>
      </c>
      <c r="B124" s="12" t="s">
        <v>355</v>
      </c>
      <c r="C124" s="13" t="s">
        <v>356</v>
      </c>
      <c r="D124" s="13" t="s">
        <v>343</v>
      </c>
      <c r="E124" s="13" t="s">
        <v>357</v>
      </c>
      <c r="F124" s="12" t="s">
        <v>274</v>
      </c>
      <c r="G124" s="12" t="s">
        <v>276</v>
      </c>
      <c r="H124" s="13" t="s">
        <v>358</v>
      </c>
    </row>
    <row r="125" customFormat="false" ht="60" hidden="false" customHeight="true" outlineLevel="0" collapsed="false">
      <c r="A125" s="12" t="s">
        <v>109</v>
      </c>
      <c r="B125" s="12" t="s">
        <v>353</v>
      </c>
      <c r="C125" s="13" t="s">
        <v>359</v>
      </c>
      <c r="D125" s="13" t="s">
        <v>352</v>
      </c>
      <c r="E125" s="13" t="s">
        <v>360</v>
      </c>
      <c r="F125" s="12" t="s">
        <v>274</v>
      </c>
      <c r="G125" s="12" t="s">
        <v>276</v>
      </c>
      <c r="H125" s="13" t="s">
        <v>361</v>
      </c>
    </row>
    <row r="126" customFormat="false" ht="60" hidden="false" customHeight="true" outlineLevel="0" collapsed="false">
      <c r="A126" s="12" t="s">
        <v>109</v>
      </c>
      <c r="B126" s="12" t="s">
        <v>357</v>
      </c>
      <c r="C126" s="13" t="s">
        <v>362</v>
      </c>
      <c r="D126" s="13" t="s">
        <v>355</v>
      </c>
      <c r="E126" s="13" t="s">
        <v>360</v>
      </c>
      <c r="F126" s="12" t="s">
        <v>274</v>
      </c>
      <c r="G126" s="12" t="s">
        <v>276</v>
      </c>
      <c r="H126" s="13" t="s">
        <v>363</v>
      </c>
    </row>
    <row r="127" customFormat="false" ht="60" hidden="false" customHeight="true" outlineLevel="0" collapsed="false">
      <c r="A127" s="12" t="s">
        <v>109</v>
      </c>
      <c r="B127" s="12" t="s">
        <v>360</v>
      </c>
      <c r="C127" s="13" t="s">
        <v>299</v>
      </c>
      <c r="D127" s="13" t="s">
        <v>364</v>
      </c>
      <c r="E127" s="13" t="s">
        <v>375</v>
      </c>
      <c r="F127" s="12" t="s">
        <v>274</v>
      </c>
      <c r="G127" s="12" t="s">
        <v>302</v>
      </c>
      <c r="H127" s="13" t="s">
        <v>366</v>
      </c>
    </row>
    <row r="128" customFormat="false" ht="60" hidden="false" customHeight="true" outlineLevel="0" collapsed="false">
      <c r="A128" s="12" t="s">
        <v>109</v>
      </c>
      <c r="B128" s="12" t="s">
        <v>375</v>
      </c>
      <c r="C128" s="13" t="s">
        <v>304</v>
      </c>
      <c r="D128" s="13" t="s">
        <v>360</v>
      </c>
      <c r="E128" s="13" t="s">
        <v>367</v>
      </c>
      <c r="F128" s="12" t="s">
        <v>274</v>
      </c>
      <c r="G128" s="12" t="s">
        <v>276</v>
      </c>
      <c r="H128" s="13" t="s">
        <v>376</v>
      </c>
    </row>
    <row r="129" customFormat="false" ht="60" hidden="false" customHeight="true" outlineLevel="0" collapsed="false">
      <c r="A129" s="12" t="s">
        <v>109</v>
      </c>
      <c r="B129" s="12" t="s">
        <v>367</v>
      </c>
      <c r="C129" s="13" t="s">
        <v>369</v>
      </c>
      <c r="D129" s="13" t="s">
        <v>375</v>
      </c>
      <c r="E129" s="13" t="s">
        <v>370</v>
      </c>
      <c r="F129" s="12" t="s">
        <v>274</v>
      </c>
      <c r="G129" s="12" t="s">
        <v>371</v>
      </c>
      <c r="H129" s="13" t="s">
        <v>372</v>
      </c>
    </row>
    <row r="130" customFormat="false" ht="60" hidden="false" customHeight="true" outlineLevel="0" collapsed="false">
      <c r="A130" s="12" t="s">
        <v>109</v>
      </c>
      <c r="B130" s="12" t="s">
        <v>370</v>
      </c>
      <c r="C130" s="13" t="s">
        <v>373</v>
      </c>
      <c r="D130" s="13" t="s">
        <v>367</v>
      </c>
      <c r="E130" s="13" t="s">
        <v>310</v>
      </c>
      <c r="F130" s="12" t="s">
        <v>274</v>
      </c>
      <c r="G130" s="12" t="s">
        <v>371</v>
      </c>
      <c r="H130" s="13" t="s">
        <v>374</v>
      </c>
    </row>
    <row r="131" customFormat="false" ht="60" hidden="false" customHeight="true" outlineLevel="0" collapsed="false">
      <c r="A131" s="12" t="s">
        <v>109</v>
      </c>
      <c r="B131" s="12" t="s">
        <v>310</v>
      </c>
      <c r="C131" s="13" t="s">
        <v>273</v>
      </c>
      <c r="D131" s="13" t="s">
        <v>370</v>
      </c>
      <c r="E131" s="13" t="s">
        <v>274</v>
      </c>
      <c r="F131" s="12" t="s">
        <v>274</v>
      </c>
      <c r="G131" s="12" t="s">
        <v>371</v>
      </c>
      <c r="H131" s="13" t="s">
        <v>315</v>
      </c>
    </row>
    <row r="132" customFormat="false" ht="60" hidden="false" customHeight="true" outlineLevel="0" collapsed="false">
      <c r="A132" s="12" t="s">
        <v>115</v>
      </c>
      <c r="B132" s="12" t="s">
        <v>272</v>
      </c>
      <c r="C132" s="13" t="s">
        <v>273</v>
      </c>
      <c r="D132" s="13" t="s">
        <v>274</v>
      </c>
      <c r="E132" s="13" t="s">
        <v>340</v>
      </c>
      <c r="F132" s="12" t="s">
        <v>274</v>
      </c>
      <c r="G132" s="12" t="s">
        <v>276</v>
      </c>
      <c r="H132" s="13" t="s">
        <v>277</v>
      </c>
    </row>
    <row r="133" customFormat="false" ht="60" hidden="false" customHeight="true" outlineLevel="0" collapsed="false">
      <c r="A133" s="12" t="s">
        <v>115</v>
      </c>
      <c r="B133" s="12" t="s">
        <v>341</v>
      </c>
      <c r="C133" s="13" t="s">
        <v>342</v>
      </c>
      <c r="D133" s="13" t="s">
        <v>272</v>
      </c>
      <c r="E133" s="13" t="s">
        <v>343</v>
      </c>
      <c r="F133" s="12" t="s">
        <v>344</v>
      </c>
      <c r="G133" s="12" t="s">
        <v>276</v>
      </c>
      <c r="H133" s="13" t="s">
        <v>345</v>
      </c>
    </row>
    <row r="134" customFormat="false" ht="60" hidden="false" customHeight="true" outlineLevel="0" collapsed="false">
      <c r="A134" s="12" t="s">
        <v>115</v>
      </c>
      <c r="B134" s="12" t="s">
        <v>346</v>
      </c>
      <c r="C134" s="13" t="s">
        <v>342</v>
      </c>
      <c r="D134" s="13" t="s">
        <v>272</v>
      </c>
      <c r="E134" s="13" t="s">
        <v>343</v>
      </c>
      <c r="F134" s="12" t="s">
        <v>344</v>
      </c>
      <c r="G134" s="12" t="s">
        <v>276</v>
      </c>
      <c r="H134" s="13" t="s">
        <v>345</v>
      </c>
    </row>
    <row r="135" customFormat="false" ht="60" hidden="false" customHeight="true" outlineLevel="0" collapsed="false">
      <c r="A135" s="12" t="s">
        <v>115</v>
      </c>
      <c r="B135" s="12" t="s">
        <v>347</v>
      </c>
      <c r="C135" s="13" t="s">
        <v>342</v>
      </c>
      <c r="D135" s="13" t="s">
        <v>272</v>
      </c>
      <c r="E135" s="13" t="s">
        <v>343</v>
      </c>
      <c r="F135" s="12" t="s">
        <v>344</v>
      </c>
      <c r="G135" s="12" t="s">
        <v>276</v>
      </c>
      <c r="H135" s="13" t="s">
        <v>345</v>
      </c>
    </row>
    <row r="136" customFormat="false" ht="60" hidden="false" customHeight="true" outlineLevel="0" collapsed="false">
      <c r="A136" s="12" t="s">
        <v>115</v>
      </c>
      <c r="B136" s="12" t="s">
        <v>348</v>
      </c>
      <c r="C136" s="13" t="s">
        <v>342</v>
      </c>
      <c r="D136" s="13" t="s">
        <v>272</v>
      </c>
      <c r="E136" s="13" t="s">
        <v>343</v>
      </c>
      <c r="F136" s="12" t="s">
        <v>344</v>
      </c>
      <c r="G136" s="12" t="s">
        <v>276</v>
      </c>
      <c r="H136" s="13" t="s">
        <v>345</v>
      </c>
    </row>
    <row r="137" customFormat="false" ht="60" hidden="false" customHeight="true" outlineLevel="0" collapsed="false">
      <c r="A137" s="12" t="s">
        <v>115</v>
      </c>
      <c r="B137" s="12" t="s">
        <v>343</v>
      </c>
      <c r="C137" s="13" t="s">
        <v>281</v>
      </c>
      <c r="D137" s="13" t="s">
        <v>349</v>
      </c>
      <c r="E137" s="13" t="s">
        <v>350</v>
      </c>
      <c r="F137" s="12" t="s">
        <v>274</v>
      </c>
      <c r="G137" s="12" t="s">
        <v>276</v>
      </c>
      <c r="H137" s="13" t="s">
        <v>351</v>
      </c>
    </row>
    <row r="138" customFormat="false" ht="60" hidden="false" customHeight="true" outlineLevel="0" collapsed="false">
      <c r="A138" s="12" t="s">
        <v>115</v>
      </c>
      <c r="B138" s="12" t="s">
        <v>352</v>
      </c>
      <c r="C138" s="13" t="s">
        <v>273</v>
      </c>
      <c r="D138" s="13" t="s">
        <v>343</v>
      </c>
      <c r="E138" s="13" t="s">
        <v>353</v>
      </c>
      <c r="F138" s="12" t="s">
        <v>274</v>
      </c>
      <c r="G138" s="12" t="s">
        <v>276</v>
      </c>
      <c r="H138" s="13" t="s">
        <v>354</v>
      </c>
    </row>
    <row r="139" customFormat="false" ht="60" hidden="false" customHeight="true" outlineLevel="0" collapsed="false">
      <c r="A139" s="12" t="s">
        <v>115</v>
      </c>
      <c r="B139" s="12" t="s">
        <v>355</v>
      </c>
      <c r="C139" s="13" t="s">
        <v>356</v>
      </c>
      <c r="D139" s="13" t="s">
        <v>343</v>
      </c>
      <c r="E139" s="13" t="s">
        <v>357</v>
      </c>
      <c r="F139" s="12" t="s">
        <v>274</v>
      </c>
      <c r="G139" s="12" t="s">
        <v>276</v>
      </c>
      <c r="H139" s="13" t="s">
        <v>358</v>
      </c>
    </row>
    <row r="140" customFormat="false" ht="60" hidden="false" customHeight="true" outlineLevel="0" collapsed="false">
      <c r="A140" s="12" t="s">
        <v>115</v>
      </c>
      <c r="B140" s="12" t="s">
        <v>353</v>
      </c>
      <c r="C140" s="13" t="s">
        <v>359</v>
      </c>
      <c r="D140" s="13" t="s">
        <v>352</v>
      </c>
      <c r="E140" s="13" t="s">
        <v>360</v>
      </c>
      <c r="F140" s="12" t="s">
        <v>274</v>
      </c>
      <c r="G140" s="12" t="s">
        <v>276</v>
      </c>
      <c r="H140" s="13" t="s">
        <v>361</v>
      </c>
    </row>
    <row r="141" customFormat="false" ht="60" hidden="false" customHeight="true" outlineLevel="0" collapsed="false">
      <c r="A141" s="12" t="s">
        <v>115</v>
      </c>
      <c r="B141" s="12" t="s">
        <v>357</v>
      </c>
      <c r="C141" s="13" t="s">
        <v>362</v>
      </c>
      <c r="D141" s="13" t="s">
        <v>355</v>
      </c>
      <c r="E141" s="13" t="s">
        <v>360</v>
      </c>
      <c r="F141" s="12" t="s">
        <v>274</v>
      </c>
      <c r="G141" s="12" t="s">
        <v>276</v>
      </c>
      <c r="H141" s="13" t="s">
        <v>363</v>
      </c>
    </row>
    <row r="142" customFormat="false" ht="60" hidden="false" customHeight="true" outlineLevel="0" collapsed="false">
      <c r="A142" s="12" t="s">
        <v>115</v>
      </c>
      <c r="B142" s="12" t="s">
        <v>360</v>
      </c>
      <c r="C142" s="13" t="s">
        <v>299</v>
      </c>
      <c r="D142" s="13" t="s">
        <v>364</v>
      </c>
      <c r="E142" s="13" t="s">
        <v>377</v>
      </c>
      <c r="F142" s="12" t="s">
        <v>274</v>
      </c>
      <c r="G142" s="12" t="s">
        <v>302</v>
      </c>
      <c r="H142" s="13" t="s">
        <v>366</v>
      </c>
    </row>
    <row r="143" customFormat="false" ht="60" hidden="false" customHeight="true" outlineLevel="0" collapsed="false">
      <c r="A143" s="12" t="s">
        <v>115</v>
      </c>
      <c r="B143" s="12" t="s">
        <v>377</v>
      </c>
      <c r="C143" s="13" t="s">
        <v>304</v>
      </c>
      <c r="D143" s="13" t="s">
        <v>360</v>
      </c>
      <c r="E143" s="13" t="s">
        <v>367</v>
      </c>
      <c r="F143" s="12" t="s">
        <v>274</v>
      </c>
      <c r="G143" s="12" t="s">
        <v>276</v>
      </c>
      <c r="H143" s="13" t="s">
        <v>378</v>
      </c>
    </row>
    <row r="144" customFormat="false" ht="60" hidden="false" customHeight="true" outlineLevel="0" collapsed="false">
      <c r="A144" s="12" t="s">
        <v>115</v>
      </c>
      <c r="B144" s="12" t="s">
        <v>367</v>
      </c>
      <c r="C144" s="13" t="s">
        <v>369</v>
      </c>
      <c r="D144" s="13" t="s">
        <v>377</v>
      </c>
      <c r="E144" s="13" t="s">
        <v>370</v>
      </c>
      <c r="F144" s="12" t="s">
        <v>274</v>
      </c>
      <c r="G144" s="12" t="s">
        <v>371</v>
      </c>
      <c r="H144" s="13" t="s">
        <v>372</v>
      </c>
    </row>
    <row r="145" customFormat="false" ht="60" hidden="false" customHeight="true" outlineLevel="0" collapsed="false">
      <c r="A145" s="12" t="s">
        <v>115</v>
      </c>
      <c r="B145" s="12" t="s">
        <v>370</v>
      </c>
      <c r="C145" s="13" t="s">
        <v>373</v>
      </c>
      <c r="D145" s="13" t="s">
        <v>367</v>
      </c>
      <c r="E145" s="13" t="s">
        <v>310</v>
      </c>
      <c r="F145" s="12" t="s">
        <v>274</v>
      </c>
      <c r="G145" s="12" t="s">
        <v>371</v>
      </c>
      <c r="H145" s="13" t="s">
        <v>374</v>
      </c>
    </row>
    <row r="146" customFormat="false" ht="60" hidden="false" customHeight="true" outlineLevel="0" collapsed="false">
      <c r="A146" s="12" t="s">
        <v>115</v>
      </c>
      <c r="B146" s="12" t="s">
        <v>310</v>
      </c>
      <c r="C146" s="13" t="s">
        <v>273</v>
      </c>
      <c r="D146" s="13" t="s">
        <v>370</v>
      </c>
      <c r="E146" s="13" t="s">
        <v>274</v>
      </c>
      <c r="F146" s="12" t="s">
        <v>274</v>
      </c>
      <c r="G146" s="12" t="s">
        <v>371</v>
      </c>
      <c r="H146" s="13" t="s">
        <v>315</v>
      </c>
    </row>
    <row r="147" customFormat="false" ht="60" hidden="false" customHeight="true" outlineLevel="0" collapsed="false">
      <c r="A147" s="12" t="s">
        <v>122</v>
      </c>
      <c r="B147" s="12" t="s">
        <v>272</v>
      </c>
      <c r="C147" s="13" t="s">
        <v>273</v>
      </c>
      <c r="D147" s="13" t="s">
        <v>274</v>
      </c>
      <c r="E147" s="13" t="s">
        <v>340</v>
      </c>
      <c r="F147" s="12" t="s">
        <v>274</v>
      </c>
      <c r="G147" s="12" t="s">
        <v>276</v>
      </c>
      <c r="H147" s="13" t="s">
        <v>277</v>
      </c>
    </row>
    <row r="148" customFormat="false" ht="60" hidden="false" customHeight="true" outlineLevel="0" collapsed="false">
      <c r="A148" s="12" t="s">
        <v>122</v>
      </c>
      <c r="B148" s="12" t="s">
        <v>341</v>
      </c>
      <c r="C148" s="13" t="s">
        <v>342</v>
      </c>
      <c r="D148" s="13" t="s">
        <v>272</v>
      </c>
      <c r="E148" s="13" t="s">
        <v>343</v>
      </c>
      <c r="F148" s="12" t="s">
        <v>344</v>
      </c>
      <c r="G148" s="12" t="s">
        <v>276</v>
      </c>
      <c r="H148" s="13" t="s">
        <v>345</v>
      </c>
    </row>
    <row r="149" customFormat="false" ht="60" hidden="false" customHeight="true" outlineLevel="0" collapsed="false">
      <c r="A149" s="12" t="s">
        <v>122</v>
      </c>
      <c r="B149" s="12" t="s">
        <v>346</v>
      </c>
      <c r="C149" s="13" t="s">
        <v>342</v>
      </c>
      <c r="D149" s="13" t="s">
        <v>272</v>
      </c>
      <c r="E149" s="13" t="s">
        <v>343</v>
      </c>
      <c r="F149" s="12" t="s">
        <v>344</v>
      </c>
      <c r="G149" s="12" t="s">
        <v>276</v>
      </c>
      <c r="H149" s="13" t="s">
        <v>345</v>
      </c>
    </row>
    <row r="150" customFormat="false" ht="60" hidden="false" customHeight="true" outlineLevel="0" collapsed="false">
      <c r="A150" s="12" t="s">
        <v>122</v>
      </c>
      <c r="B150" s="12" t="s">
        <v>347</v>
      </c>
      <c r="C150" s="13" t="s">
        <v>342</v>
      </c>
      <c r="D150" s="13" t="s">
        <v>272</v>
      </c>
      <c r="E150" s="13" t="s">
        <v>343</v>
      </c>
      <c r="F150" s="12" t="s">
        <v>344</v>
      </c>
      <c r="G150" s="12" t="s">
        <v>276</v>
      </c>
      <c r="H150" s="13" t="s">
        <v>345</v>
      </c>
    </row>
    <row r="151" customFormat="false" ht="60" hidden="false" customHeight="true" outlineLevel="0" collapsed="false">
      <c r="A151" s="12" t="s">
        <v>122</v>
      </c>
      <c r="B151" s="12" t="s">
        <v>348</v>
      </c>
      <c r="C151" s="13" t="s">
        <v>342</v>
      </c>
      <c r="D151" s="13" t="s">
        <v>272</v>
      </c>
      <c r="E151" s="13" t="s">
        <v>343</v>
      </c>
      <c r="F151" s="12" t="s">
        <v>344</v>
      </c>
      <c r="G151" s="12" t="s">
        <v>276</v>
      </c>
      <c r="H151" s="13" t="s">
        <v>345</v>
      </c>
    </row>
    <row r="152" customFormat="false" ht="60" hidden="false" customHeight="true" outlineLevel="0" collapsed="false">
      <c r="A152" s="12" t="s">
        <v>122</v>
      </c>
      <c r="B152" s="12" t="s">
        <v>343</v>
      </c>
      <c r="C152" s="13" t="s">
        <v>281</v>
      </c>
      <c r="D152" s="13" t="s">
        <v>349</v>
      </c>
      <c r="E152" s="13" t="s">
        <v>350</v>
      </c>
      <c r="F152" s="12" t="s">
        <v>274</v>
      </c>
      <c r="G152" s="12" t="s">
        <v>276</v>
      </c>
      <c r="H152" s="13" t="s">
        <v>351</v>
      </c>
    </row>
    <row r="153" customFormat="false" ht="60" hidden="false" customHeight="true" outlineLevel="0" collapsed="false">
      <c r="A153" s="12" t="s">
        <v>122</v>
      </c>
      <c r="B153" s="12" t="s">
        <v>352</v>
      </c>
      <c r="C153" s="13" t="s">
        <v>273</v>
      </c>
      <c r="D153" s="13" t="s">
        <v>343</v>
      </c>
      <c r="E153" s="13" t="s">
        <v>353</v>
      </c>
      <c r="F153" s="12" t="s">
        <v>274</v>
      </c>
      <c r="G153" s="12" t="s">
        <v>276</v>
      </c>
      <c r="H153" s="13" t="s">
        <v>354</v>
      </c>
    </row>
    <row r="154" customFormat="false" ht="60" hidden="false" customHeight="true" outlineLevel="0" collapsed="false">
      <c r="A154" s="12" t="s">
        <v>122</v>
      </c>
      <c r="B154" s="12" t="s">
        <v>355</v>
      </c>
      <c r="C154" s="13" t="s">
        <v>356</v>
      </c>
      <c r="D154" s="13" t="s">
        <v>343</v>
      </c>
      <c r="E154" s="13" t="s">
        <v>357</v>
      </c>
      <c r="F154" s="12" t="s">
        <v>274</v>
      </c>
      <c r="G154" s="12" t="s">
        <v>276</v>
      </c>
      <c r="H154" s="13" t="s">
        <v>358</v>
      </c>
    </row>
    <row r="155" customFormat="false" ht="60" hidden="false" customHeight="true" outlineLevel="0" collapsed="false">
      <c r="A155" s="12" t="s">
        <v>122</v>
      </c>
      <c r="B155" s="12" t="s">
        <v>353</v>
      </c>
      <c r="C155" s="13" t="s">
        <v>359</v>
      </c>
      <c r="D155" s="13" t="s">
        <v>352</v>
      </c>
      <c r="E155" s="13" t="s">
        <v>360</v>
      </c>
      <c r="F155" s="12" t="s">
        <v>274</v>
      </c>
      <c r="G155" s="12" t="s">
        <v>276</v>
      </c>
      <c r="H155" s="13" t="s">
        <v>361</v>
      </c>
    </row>
    <row r="156" customFormat="false" ht="60" hidden="false" customHeight="true" outlineLevel="0" collapsed="false">
      <c r="A156" s="12" t="s">
        <v>122</v>
      </c>
      <c r="B156" s="12" t="s">
        <v>357</v>
      </c>
      <c r="C156" s="13" t="s">
        <v>362</v>
      </c>
      <c r="D156" s="13" t="s">
        <v>355</v>
      </c>
      <c r="E156" s="13" t="s">
        <v>360</v>
      </c>
      <c r="F156" s="12" t="s">
        <v>274</v>
      </c>
      <c r="G156" s="12" t="s">
        <v>276</v>
      </c>
      <c r="H156" s="13" t="s">
        <v>363</v>
      </c>
    </row>
    <row r="157" customFormat="false" ht="60" hidden="false" customHeight="true" outlineLevel="0" collapsed="false">
      <c r="A157" s="12" t="s">
        <v>122</v>
      </c>
      <c r="B157" s="12" t="s">
        <v>360</v>
      </c>
      <c r="C157" s="13" t="s">
        <v>299</v>
      </c>
      <c r="D157" s="13" t="s">
        <v>364</v>
      </c>
      <c r="E157" s="13" t="s">
        <v>379</v>
      </c>
      <c r="F157" s="12" t="s">
        <v>274</v>
      </c>
      <c r="G157" s="12" t="s">
        <v>302</v>
      </c>
      <c r="H157" s="13" t="s">
        <v>366</v>
      </c>
    </row>
    <row r="158" customFormat="false" ht="60" hidden="false" customHeight="true" outlineLevel="0" collapsed="false">
      <c r="A158" s="12" t="s">
        <v>122</v>
      </c>
      <c r="B158" s="12" t="s">
        <v>379</v>
      </c>
      <c r="C158" s="13" t="s">
        <v>304</v>
      </c>
      <c r="D158" s="13" t="s">
        <v>360</v>
      </c>
      <c r="E158" s="13" t="s">
        <v>367</v>
      </c>
      <c r="F158" s="12" t="s">
        <v>274</v>
      </c>
      <c r="G158" s="12" t="s">
        <v>276</v>
      </c>
      <c r="H158" s="13" t="s">
        <v>380</v>
      </c>
    </row>
    <row r="159" customFormat="false" ht="60" hidden="false" customHeight="true" outlineLevel="0" collapsed="false">
      <c r="A159" s="12" t="s">
        <v>122</v>
      </c>
      <c r="B159" s="12" t="s">
        <v>367</v>
      </c>
      <c r="C159" s="13" t="s">
        <v>369</v>
      </c>
      <c r="D159" s="13" t="s">
        <v>379</v>
      </c>
      <c r="E159" s="13" t="s">
        <v>370</v>
      </c>
      <c r="F159" s="12" t="s">
        <v>274</v>
      </c>
      <c r="G159" s="12" t="s">
        <v>371</v>
      </c>
      <c r="H159" s="13" t="s">
        <v>372</v>
      </c>
    </row>
    <row r="160" customFormat="false" ht="60" hidden="false" customHeight="true" outlineLevel="0" collapsed="false">
      <c r="A160" s="12" t="s">
        <v>122</v>
      </c>
      <c r="B160" s="12" t="s">
        <v>370</v>
      </c>
      <c r="C160" s="13" t="s">
        <v>373</v>
      </c>
      <c r="D160" s="13" t="s">
        <v>367</v>
      </c>
      <c r="E160" s="13" t="s">
        <v>310</v>
      </c>
      <c r="F160" s="12" t="s">
        <v>274</v>
      </c>
      <c r="G160" s="12" t="s">
        <v>371</v>
      </c>
      <c r="H160" s="13" t="s">
        <v>374</v>
      </c>
    </row>
    <row r="161" customFormat="false" ht="60" hidden="false" customHeight="true" outlineLevel="0" collapsed="false">
      <c r="A161" s="12" t="s">
        <v>122</v>
      </c>
      <c r="B161" s="12" t="s">
        <v>310</v>
      </c>
      <c r="C161" s="13" t="s">
        <v>273</v>
      </c>
      <c r="D161" s="13" t="s">
        <v>370</v>
      </c>
      <c r="E161" s="13" t="s">
        <v>274</v>
      </c>
      <c r="F161" s="12" t="s">
        <v>274</v>
      </c>
      <c r="G161" s="12" t="s">
        <v>371</v>
      </c>
      <c r="H161" s="13" t="s">
        <v>315</v>
      </c>
    </row>
    <row r="162" customFormat="false" ht="60" hidden="false" customHeight="true" outlineLevel="0" collapsed="false">
      <c r="A162" s="12" t="s">
        <v>127</v>
      </c>
      <c r="B162" s="12" t="s">
        <v>272</v>
      </c>
      <c r="C162" s="13" t="s">
        <v>273</v>
      </c>
      <c r="D162" s="13" t="s">
        <v>274</v>
      </c>
      <c r="E162" s="13" t="s">
        <v>340</v>
      </c>
      <c r="F162" s="12" t="s">
        <v>274</v>
      </c>
      <c r="G162" s="12" t="s">
        <v>276</v>
      </c>
      <c r="H162" s="13" t="s">
        <v>277</v>
      </c>
    </row>
    <row r="163" customFormat="false" ht="60" hidden="false" customHeight="true" outlineLevel="0" collapsed="false">
      <c r="A163" s="12" t="s">
        <v>127</v>
      </c>
      <c r="B163" s="12" t="s">
        <v>341</v>
      </c>
      <c r="C163" s="13" t="s">
        <v>342</v>
      </c>
      <c r="D163" s="13" t="s">
        <v>272</v>
      </c>
      <c r="E163" s="13" t="s">
        <v>343</v>
      </c>
      <c r="F163" s="12" t="s">
        <v>344</v>
      </c>
      <c r="G163" s="12" t="s">
        <v>276</v>
      </c>
      <c r="H163" s="13" t="s">
        <v>345</v>
      </c>
    </row>
    <row r="164" customFormat="false" ht="60" hidden="false" customHeight="true" outlineLevel="0" collapsed="false">
      <c r="A164" s="12" t="s">
        <v>127</v>
      </c>
      <c r="B164" s="12" t="s">
        <v>346</v>
      </c>
      <c r="C164" s="13" t="s">
        <v>342</v>
      </c>
      <c r="D164" s="13" t="s">
        <v>272</v>
      </c>
      <c r="E164" s="13" t="s">
        <v>343</v>
      </c>
      <c r="F164" s="12" t="s">
        <v>344</v>
      </c>
      <c r="G164" s="12" t="s">
        <v>276</v>
      </c>
      <c r="H164" s="13" t="s">
        <v>345</v>
      </c>
    </row>
    <row r="165" customFormat="false" ht="60" hidden="false" customHeight="true" outlineLevel="0" collapsed="false">
      <c r="A165" s="12" t="s">
        <v>127</v>
      </c>
      <c r="B165" s="12" t="s">
        <v>347</v>
      </c>
      <c r="C165" s="13" t="s">
        <v>342</v>
      </c>
      <c r="D165" s="13" t="s">
        <v>272</v>
      </c>
      <c r="E165" s="13" t="s">
        <v>343</v>
      </c>
      <c r="F165" s="12" t="s">
        <v>344</v>
      </c>
      <c r="G165" s="12" t="s">
        <v>276</v>
      </c>
      <c r="H165" s="13" t="s">
        <v>345</v>
      </c>
    </row>
    <row r="166" customFormat="false" ht="60" hidden="false" customHeight="true" outlineLevel="0" collapsed="false">
      <c r="A166" s="12" t="s">
        <v>127</v>
      </c>
      <c r="B166" s="12" t="s">
        <v>348</v>
      </c>
      <c r="C166" s="13" t="s">
        <v>342</v>
      </c>
      <c r="D166" s="13" t="s">
        <v>272</v>
      </c>
      <c r="E166" s="13" t="s">
        <v>343</v>
      </c>
      <c r="F166" s="12" t="s">
        <v>344</v>
      </c>
      <c r="G166" s="12" t="s">
        <v>276</v>
      </c>
      <c r="H166" s="13" t="s">
        <v>345</v>
      </c>
    </row>
    <row r="167" customFormat="false" ht="60" hidden="false" customHeight="true" outlineLevel="0" collapsed="false">
      <c r="A167" s="12" t="s">
        <v>127</v>
      </c>
      <c r="B167" s="12" t="s">
        <v>343</v>
      </c>
      <c r="C167" s="13" t="s">
        <v>281</v>
      </c>
      <c r="D167" s="13" t="s">
        <v>349</v>
      </c>
      <c r="E167" s="13" t="s">
        <v>350</v>
      </c>
      <c r="F167" s="12" t="s">
        <v>274</v>
      </c>
      <c r="G167" s="12" t="s">
        <v>276</v>
      </c>
      <c r="H167" s="13" t="s">
        <v>351</v>
      </c>
    </row>
    <row r="168" customFormat="false" ht="60" hidden="false" customHeight="true" outlineLevel="0" collapsed="false">
      <c r="A168" s="12" t="s">
        <v>127</v>
      </c>
      <c r="B168" s="12" t="s">
        <v>352</v>
      </c>
      <c r="C168" s="13" t="s">
        <v>273</v>
      </c>
      <c r="D168" s="13" t="s">
        <v>343</v>
      </c>
      <c r="E168" s="13" t="s">
        <v>353</v>
      </c>
      <c r="F168" s="12" t="s">
        <v>274</v>
      </c>
      <c r="G168" s="12" t="s">
        <v>276</v>
      </c>
      <c r="H168" s="13" t="s">
        <v>354</v>
      </c>
    </row>
    <row r="169" customFormat="false" ht="60" hidden="false" customHeight="true" outlineLevel="0" collapsed="false">
      <c r="A169" s="12" t="s">
        <v>127</v>
      </c>
      <c r="B169" s="12" t="s">
        <v>355</v>
      </c>
      <c r="C169" s="13" t="s">
        <v>356</v>
      </c>
      <c r="D169" s="13" t="s">
        <v>343</v>
      </c>
      <c r="E169" s="13" t="s">
        <v>357</v>
      </c>
      <c r="F169" s="12" t="s">
        <v>274</v>
      </c>
      <c r="G169" s="12" t="s">
        <v>276</v>
      </c>
      <c r="H169" s="13" t="s">
        <v>358</v>
      </c>
    </row>
    <row r="170" customFormat="false" ht="60" hidden="false" customHeight="true" outlineLevel="0" collapsed="false">
      <c r="A170" s="12" t="s">
        <v>127</v>
      </c>
      <c r="B170" s="12" t="s">
        <v>353</v>
      </c>
      <c r="C170" s="13" t="s">
        <v>359</v>
      </c>
      <c r="D170" s="13" t="s">
        <v>352</v>
      </c>
      <c r="E170" s="13" t="s">
        <v>360</v>
      </c>
      <c r="F170" s="12" t="s">
        <v>274</v>
      </c>
      <c r="G170" s="12" t="s">
        <v>276</v>
      </c>
      <c r="H170" s="13" t="s">
        <v>361</v>
      </c>
    </row>
    <row r="171" customFormat="false" ht="60" hidden="false" customHeight="true" outlineLevel="0" collapsed="false">
      <c r="A171" s="12" t="s">
        <v>127</v>
      </c>
      <c r="B171" s="12" t="s">
        <v>357</v>
      </c>
      <c r="C171" s="13" t="s">
        <v>362</v>
      </c>
      <c r="D171" s="13" t="s">
        <v>355</v>
      </c>
      <c r="E171" s="13" t="s">
        <v>360</v>
      </c>
      <c r="F171" s="12" t="s">
        <v>274</v>
      </c>
      <c r="G171" s="12" t="s">
        <v>276</v>
      </c>
      <c r="H171" s="13" t="s">
        <v>363</v>
      </c>
    </row>
    <row r="172" customFormat="false" ht="60" hidden="false" customHeight="true" outlineLevel="0" collapsed="false">
      <c r="A172" s="12" t="s">
        <v>127</v>
      </c>
      <c r="B172" s="12" t="s">
        <v>360</v>
      </c>
      <c r="C172" s="13" t="s">
        <v>299</v>
      </c>
      <c r="D172" s="13" t="s">
        <v>364</v>
      </c>
      <c r="E172" s="13" t="s">
        <v>381</v>
      </c>
      <c r="F172" s="12" t="s">
        <v>274</v>
      </c>
      <c r="G172" s="12" t="s">
        <v>302</v>
      </c>
      <c r="H172" s="13" t="s">
        <v>366</v>
      </c>
    </row>
    <row r="173" customFormat="false" ht="60" hidden="false" customHeight="true" outlineLevel="0" collapsed="false">
      <c r="A173" s="12" t="s">
        <v>127</v>
      </c>
      <c r="B173" s="12" t="s">
        <v>381</v>
      </c>
      <c r="C173" s="13" t="s">
        <v>304</v>
      </c>
      <c r="D173" s="13" t="s">
        <v>360</v>
      </c>
      <c r="E173" s="13" t="s">
        <v>367</v>
      </c>
      <c r="F173" s="12" t="s">
        <v>274</v>
      </c>
      <c r="G173" s="12" t="s">
        <v>276</v>
      </c>
      <c r="H173" s="13" t="s">
        <v>382</v>
      </c>
    </row>
    <row r="174" customFormat="false" ht="60" hidden="false" customHeight="true" outlineLevel="0" collapsed="false">
      <c r="A174" s="12" t="s">
        <v>127</v>
      </c>
      <c r="B174" s="12" t="s">
        <v>367</v>
      </c>
      <c r="C174" s="13" t="s">
        <v>369</v>
      </c>
      <c r="D174" s="13" t="s">
        <v>381</v>
      </c>
      <c r="E174" s="13" t="s">
        <v>370</v>
      </c>
      <c r="F174" s="12" t="s">
        <v>274</v>
      </c>
      <c r="G174" s="12" t="s">
        <v>371</v>
      </c>
      <c r="H174" s="13" t="s">
        <v>372</v>
      </c>
    </row>
    <row r="175" customFormat="false" ht="60" hidden="false" customHeight="true" outlineLevel="0" collapsed="false">
      <c r="A175" s="12" t="s">
        <v>127</v>
      </c>
      <c r="B175" s="12" t="s">
        <v>370</v>
      </c>
      <c r="C175" s="13" t="s">
        <v>373</v>
      </c>
      <c r="D175" s="13" t="s">
        <v>367</v>
      </c>
      <c r="E175" s="13" t="s">
        <v>310</v>
      </c>
      <c r="F175" s="12" t="s">
        <v>274</v>
      </c>
      <c r="G175" s="12" t="s">
        <v>371</v>
      </c>
      <c r="H175" s="13" t="s">
        <v>374</v>
      </c>
    </row>
    <row r="176" customFormat="false" ht="60" hidden="false" customHeight="true" outlineLevel="0" collapsed="false">
      <c r="A176" s="12" t="s">
        <v>127</v>
      </c>
      <c r="B176" s="12" t="s">
        <v>310</v>
      </c>
      <c r="C176" s="13" t="s">
        <v>273</v>
      </c>
      <c r="D176" s="13" t="s">
        <v>370</v>
      </c>
      <c r="E176" s="13" t="s">
        <v>274</v>
      </c>
      <c r="F176" s="12" t="s">
        <v>274</v>
      </c>
      <c r="G176" s="12" t="s">
        <v>371</v>
      </c>
      <c r="H176" s="13" t="s">
        <v>315</v>
      </c>
    </row>
    <row r="177" customFormat="false" ht="60" hidden="false" customHeight="true" outlineLevel="0" collapsed="false">
      <c r="A177" s="12" t="s">
        <v>133</v>
      </c>
      <c r="B177" s="12" t="s">
        <v>272</v>
      </c>
      <c r="C177" s="13" t="s">
        <v>273</v>
      </c>
      <c r="D177" s="13" t="s">
        <v>274</v>
      </c>
      <c r="E177" s="13" t="s">
        <v>340</v>
      </c>
      <c r="F177" s="12" t="s">
        <v>274</v>
      </c>
      <c r="G177" s="12" t="s">
        <v>276</v>
      </c>
      <c r="H177" s="13" t="s">
        <v>277</v>
      </c>
    </row>
    <row r="178" customFormat="false" ht="60" hidden="false" customHeight="true" outlineLevel="0" collapsed="false">
      <c r="A178" s="12" t="s">
        <v>133</v>
      </c>
      <c r="B178" s="12" t="s">
        <v>341</v>
      </c>
      <c r="C178" s="13" t="s">
        <v>342</v>
      </c>
      <c r="D178" s="13" t="s">
        <v>272</v>
      </c>
      <c r="E178" s="13" t="s">
        <v>343</v>
      </c>
      <c r="F178" s="12" t="s">
        <v>344</v>
      </c>
      <c r="G178" s="12" t="s">
        <v>276</v>
      </c>
      <c r="H178" s="13" t="s">
        <v>345</v>
      </c>
    </row>
    <row r="179" customFormat="false" ht="60" hidden="false" customHeight="true" outlineLevel="0" collapsed="false">
      <c r="A179" s="12" t="s">
        <v>133</v>
      </c>
      <c r="B179" s="12" t="s">
        <v>346</v>
      </c>
      <c r="C179" s="13" t="s">
        <v>342</v>
      </c>
      <c r="D179" s="13" t="s">
        <v>272</v>
      </c>
      <c r="E179" s="13" t="s">
        <v>343</v>
      </c>
      <c r="F179" s="12" t="s">
        <v>344</v>
      </c>
      <c r="G179" s="12" t="s">
        <v>276</v>
      </c>
      <c r="H179" s="13" t="s">
        <v>345</v>
      </c>
    </row>
    <row r="180" customFormat="false" ht="60" hidden="false" customHeight="true" outlineLevel="0" collapsed="false">
      <c r="A180" s="12" t="s">
        <v>133</v>
      </c>
      <c r="B180" s="12" t="s">
        <v>347</v>
      </c>
      <c r="C180" s="13" t="s">
        <v>342</v>
      </c>
      <c r="D180" s="13" t="s">
        <v>272</v>
      </c>
      <c r="E180" s="13" t="s">
        <v>343</v>
      </c>
      <c r="F180" s="12" t="s">
        <v>344</v>
      </c>
      <c r="G180" s="12" t="s">
        <v>276</v>
      </c>
      <c r="H180" s="13" t="s">
        <v>345</v>
      </c>
    </row>
    <row r="181" customFormat="false" ht="60" hidden="false" customHeight="true" outlineLevel="0" collapsed="false">
      <c r="A181" s="12" t="s">
        <v>133</v>
      </c>
      <c r="B181" s="12" t="s">
        <v>348</v>
      </c>
      <c r="C181" s="13" t="s">
        <v>342</v>
      </c>
      <c r="D181" s="13" t="s">
        <v>272</v>
      </c>
      <c r="E181" s="13" t="s">
        <v>343</v>
      </c>
      <c r="F181" s="12" t="s">
        <v>344</v>
      </c>
      <c r="G181" s="12" t="s">
        <v>276</v>
      </c>
      <c r="H181" s="13" t="s">
        <v>345</v>
      </c>
    </row>
    <row r="182" customFormat="false" ht="60" hidden="false" customHeight="true" outlineLevel="0" collapsed="false">
      <c r="A182" s="12" t="s">
        <v>133</v>
      </c>
      <c r="B182" s="12" t="s">
        <v>343</v>
      </c>
      <c r="C182" s="13" t="s">
        <v>281</v>
      </c>
      <c r="D182" s="13" t="s">
        <v>349</v>
      </c>
      <c r="E182" s="13" t="s">
        <v>350</v>
      </c>
      <c r="F182" s="12" t="s">
        <v>274</v>
      </c>
      <c r="G182" s="12" t="s">
        <v>276</v>
      </c>
      <c r="H182" s="13" t="s">
        <v>351</v>
      </c>
    </row>
    <row r="183" customFormat="false" ht="60" hidden="false" customHeight="true" outlineLevel="0" collapsed="false">
      <c r="A183" s="12" t="s">
        <v>133</v>
      </c>
      <c r="B183" s="12" t="s">
        <v>352</v>
      </c>
      <c r="C183" s="13" t="s">
        <v>273</v>
      </c>
      <c r="D183" s="13" t="s">
        <v>343</v>
      </c>
      <c r="E183" s="13" t="s">
        <v>353</v>
      </c>
      <c r="F183" s="12" t="s">
        <v>274</v>
      </c>
      <c r="G183" s="12" t="s">
        <v>276</v>
      </c>
      <c r="H183" s="13" t="s">
        <v>354</v>
      </c>
    </row>
    <row r="184" customFormat="false" ht="60" hidden="false" customHeight="true" outlineLevel="0" collapsed="false">
      <c r="A184" s="12" t="s">
        <v>133</v>
      </c>
      <c r="B184" s="12" t="s">
        <v>355</v>
      </c>
      <c r="C184" s="13" t="s">
        <v>356</v>
      </c>
      <c r="D184" s="13" t="s">
        <v>343</v>
      </c>
      <c r="E184" s="13" t="s">
        <v>357</v>
      </c>
      <c r="F184" s="12" t="s">
        <v>274</v>
      </c>
      <c r="G184" s="12" t="s">
        <v>276</v>
      </c>
      <c r="H184" s="13" t="s">
        <v>358</v>
      </c>
    </row>
    <row r="185" customFormat="false" ht="60" hidden="false" customHeight="true" outlineLevel="0" collapsed="false">
      <c r="A185" s="12" t="s">
        <v>133</v>
      </c>
      <c r="B185" s="12" t="s">
        <v>353</v>
      </c>
      <c r="C185" s="13" t="s">
        <v>359</v>
      </c>
      <c r="D185" s="13" t="s">
        <v>352</v>
      </c>
      <c r="E185" s="13" t="s">
        <v>360</v>
      </c>
      <c r="F185" s="12" t="s">
        <v>274</v>
      </c>
      <c r="G185" s="12" t="s">
        <v>276</v>
      </c>
      <c r="H185" s="13" t="s">
        <v>361</v>
      </c>
    </row>
    <row r="186" customFormat="false" ht="60" hidden="false" customHeight="true" outlineLevel="0" collapsed="false">
      <c r="A186" s="12" t="s">
        <v>133</v>
      </c>
      <c r="B186" s="12" t="s">
        <v>357</v>
      </c>
      <c r="C186" s="13" t="s">
        <v>362</v>
      </c>
      <c r="D186" s="13" t="s">
        <v>355</v>
      </c>
      <c r="E186" s="13" t="s">
        <v>360</v>
      </c>
      <c r="F186" s="12" t="s">
        <v>274</v>
      </c>
      <c r="G186" s="12" t="s">
        <v>276</v>
      </c>
      <c r="H186" s="13" t="s">
        <v>363</v>
      </c>
    </row>
    <row r="187" customFormat="false" ht="60" hidden="false" customHeight="true" outlineLevel="0" collapsed="false">
      <c r="A187" s="12" t="s">
        <v>133</v>
      </c>
      <c r="B187" s="12" t="s">
        <v>360</v>
      </c>
      <c r="C187" s="13" t="s">
        <v>299</v>
      </c>
      <c r="D187" s="13" t="s">
        <v>364</v>
      </c>
      <c r="E187" s="13" t="s">
        <v>383</v>
      </c>
      <c r="F187" s="12" t="s">
        <v>274</v>
      </c>
      <c r="G187" s="12" t="s">
        <v>302</v>
      </c>
      <c r="H187" s="13" t="s">
        <v>366</v>
      </c>
    </row>
    <row r="188" customFormat="false" ht="60" hidden="false" customHeight="true" outlineLevel="0" collapsed="false">
      <c r="A188" s="12" t="s">
        <v>133</v>
      </c>
      <c r="B188" s="12" t="s">
        <v>383</v>
      </c>
      <c r="C188" s="13" t="s">
        <v>304</v>
      </c>
      <c r="D188" s="13" t="s">
        <v>360</v>
      </c>
      <c r="E188" s="13" t="s">
        <v>367</v>
      </c>
      <c r="F188" s="12" t="s">
        <v>274</v>
      </c>
      <c r="G188" s="12" t="s">
        <v>276</v>
      </c>
      <c r="H188" s="13" t="s">
        <v>384</v>
      </c>
    </row>
    <row r="189" customFormat="false" ht="60" hidden="false" customHeight="true" outlineLevel="0" collapsed="false">
      <c r="A189" s="12" t="s">
        <v>133</v>
      </c>
      <c r="B189" s="12" t="s">
        <v>367</v>
      </c>
      <c r="C189" s="13" t="s">
        <v>369</v>
      </c>
      <c r="D189" s="13" t="s">
        <v>383</v>
      </c>
      <c r="E189" s="13" t="s">
        <v>370</v>
      </c>
      <c r="F189" s="12" t="s">
        <v>274</v>
      </c>
      <c r="G189" s="12" t="s">
        <v>371</v>
      </c>
      <c r="H189" s="13" t="s">
        <v>372</v>
      </c>
    </row>
    <row r="190" customFormat="false" ht="60" hidden="false" customHeight="true" outlineLevel="0" collapsed="false">
      <c r="A190" s="12" t="s">
        <v>133</v>
      </c>
      <c r="B190" s="12" t="s">
        <v>370</v>
      </c>
      <c r="C190" s="13" t="s">
        <v>373</v>
      </c>
      <c r="D190" s="13" t="s">
        <v>367</v>
      </c>
      <c r="E190" s="13" t="s">
        <v>310</v>
      </c>
      <c r="F190" s="12" t="s">
        <v>274</v>
      </c>
      <c r="G190" s="12" t="s">
        <v>371</v>
      </c>
      <c r="H190" s="13" t="s">
        <v>374</v>
      </c>
    </row>
    <row r="191" customFormat="false" ht="60" hidden="false" customHeight="true" outlineLevel="0" collapsed="false">
      <c r="A191" s="12" t="s">
        <v>133</v>
      </c>
      <c r="B191" s="12" t="s">
        <v>310</v>
      </c>
      <c r="C191" s="13" t="s">
        <v>273</v>
      </c>
      <c r="D191" s="13" t="s">
        <v>370</v>
      </c>
      <c r="E191" s="13" t="s">
        <v>274</v>
      </c>
      <c r="F191" s="12" t="s">
        <v>274</v>
      </c>
      <c r="G191" s="12" t="s">
        <v>371</v>
      </c>
      <c r="H191" s="13" t="s">
        <v>315</v>
      </c>
    </row>
    <row r="192" customFormat="false" ht="60" hidden="false" customHeight="true" outlineLevel="0" collapsed="false">
      <c r="A192" s="12" t="s">
        <v>140</v>
      </c>
      <c r="B192" s="12" t="s">
        <v>272</v>
      </c>
      <c r="C192" s="13" t="s">
        <v>273</v>
      </c>
      <c r="D192" s="13" t="s">
        <v>274</v>
      </c>
      <c r="E192" s="13" t="s">
        <v>340</v>
      </c>
      <c r="F192" s="12" t="s">
        <v>274</v>
      </c>
      <c r="G192" s="12" t="s">
        <v>276</v>
      </c>
      <c r="H192" s="13" t="s">
        <v>277</v>
      </c>
    </row>
    <row r="193" customFormat="false" ht="60" hidden="false" customHeight="true" outlineLevel="0" collapsed="false">
      <c r="A193" s="12" t="s">
        <v>140</v>
      </c>
      <c r="B193" s="12" t="s">
        <v>341</v>
      </c>
      <c r="C193" s="13" t="s">
        <v>342</v>
      </c>
      <c r="D193" s="13" t="s">
        <v>272</v>
      </c>
      <c r="E193" s="13" t="s">
        <v>343</v>
      </c>
      <c r="F193" s="12" t="s">
        <v>344</v>
      </c>
      <c r="G193" s="12" t="s">
        <v>276</v>
      </c>
      <c r="H193" s="13" t="s">
        <v>345</v>
      </c>
    </row>
    <row r="194" customFormat="false" ht="60" hidden="false" customHeight="true" outlineLevel="0" collapsed="false">
      <c r="A194" s="12" t="s">
        <v>140</v>
      </c>
      <c r="B194" s="12" t="s">
        <v>346</v>
      </c>
      <c r="C194" s="13" t="s">
        <v>342</v>
      </c>
      <c r="D194" s="13" t="s">
        <v>272</v>
      </c>
      <c r="E194" s="13" t="s">
        <v>343</v>
      </c>
      <c r="F194" s="12" t="s">
        <v>344</v>
      </c>
      <c r="G194" s="12" t="s">
        <v>276</v>
      </c>
      <c r="H194" s="13" t="s">
        <v>345</v>
      </c>
    </row>
    <row r="195" customFormat="false" ht="60" hidden="false" customHeight="true" outlineLevel="0" collapsed="false">
      <c r="A195" s="12" t="s">
        <v>140</v>
      </c>
      <c r="B195" s="12" t="s">
        <v>347</v>
      </c>
      <c r="C195" s="13" t="s">
        <v>342</v>
      </c>
      <c r="D195" s="13" t="s">
        <v>272</v>
      </c>
      <c r="E195" s="13" t="s">
        <v>343</v>
      </c>
      <c r="F195" s="12" t="s">
        <v>344</v>
      </c>
      <c r="G195" s="12" t="s">
        <v>276</v>
      </c>
      <c r="H195" s="13" t="s">
        <v>345</v>
      </c>
    </row>
    <row r="196" customFormat="false" ht="60" hidden="false" customHeight="true" outlineLevel="0" collapsed="false">
      <c r="A196" s="12" t="s">
        <v>140</v>
      </c>
      <c r="B196" s="12" t="s">
        <v>348</v>
      </c>
      <c r="C196" s="13" t="s">
        <v>342</v>
      </c>
      <c r="D196" s="13" t="s">
        <v>272</v>
      </c>
      <c r="E196" s="13" t="s">
        <v>343</v>
      </c>
      <c r="F196" s="12" t="s">
        <v>344</v>
      </c>
      <c r="G196" s="12" t="s">
        <v>276</v>
      </c>
      <c r="H196" s="13" t="s">
        <v>345</v>
      </c>
    </row>
    <row r="197" customFormat="false" ht="60" hidden="false" customHeight="true" outlineLevel="0" collapsed="false">
      <c r="A197" s="12" t="s">
        <v>140</v>
      </c>
      <c r="B197" s="12" t="s">
        <v>343</v>
      </c>
      <c r="C197" s="13" t="s">
        <v>281</v>
      </c>
      <c r="D197" s="13" t="s">
        <v>349</v>
      </c>
      <c r="E197" s="13" t="s">
        <v>350</v>
      </c>
      <c r="F197" s="12" t="s">
        <v>274</v>
      </c>
      <c r="G197" s="12" t="s">
        <v>276</v>
      </c>
      <c r="H197" s="13" t="s">
        <v>351</v>
      </c>
    </row>
    <row r="198" customFormat="false" ht="60" hidden="false" customHeight="true" outlineLevel="0" collapsed="false">
      <c r="A198" s="12" t="s">
        <v>140</v>
      </c>
      <c r="B198" s="12" t="s">
        <v>352</v>
      </c>
      <c r="C198" s="13" t="s">
        <v>273</v>
      </c>
      <c r="D198" s="13" t="s">
        <v>343</v>
      </c>
      <c r="E198" s="13" t="s">
        <v>353</v>
      </c>
      <c r="F198" s="12" t="s">
        <v>274</v>
      </c>
      <c r="G198" s="12" t="s">
        <v>276</v>
      </c>
      <c r="H198" s="13" t="s">
        <v>354</v>
      </c>
    </row>
    <row r="199" customFormat="false" ht="60" hidden="false" customHeight="true" outlineLevel="0" collapsed="false">
      <c r="A199" s="12" t="s">
        <v>140</v>
      </c>
      <c r="B199" s="12" t="s">
        <v>355</v>
      </c>
      <c r="C199" s="13" t="s">
        <v>356</v>
      </c>
      <c r="D199" s="13" t="s">
        <v>343</v>
      </c>
      <c r="E199" s="13" t="s">
        <v>357</v>
      </c>
      <c r="F199" s="12" t="s">
        <v>274</v>
      </c>
      <c r="G199" s="12" t="s">
        <v>276</v>
      </c>
      <c r="H199" s="13" t="s">
        <v>358</v>
      </c>
    </row>
    <row r="200" customFormat="false" ht="60" hidden="false" customHeight="true" outlineLevel="0" collapsed="false">
      <c r="A200" s="12" t="s">
        <v>140</v>
      </c>
      <c r="B200" s="12" t="s">
        <v>353</v>
      </c>
      <c r="C200" s="13" t="s">
        <v>359</v>
      </c>
      <c r="D200" s="13" t="s">
        <v>352</v>
      </c>
      <c r="E200" s="13" t="s">
        <v>360</v>
      </c>
      <c r="F200" s="12" t="s">
        <v>274</v>
      </c>
      <c r="G200" s="12" t="s">
        <v>276</v>
      </c>
      <c r="H200" s="13" t="s">
        <v>361</v>
      </c>
    </row>
    <row r="201" customFormat="false" ht="60" hidden="false" customHeight="true" outlineLevel="0" collapsed="false">
      <c r="A201" s="12" t="s">
        <v>140</v>
      </c>
      <c r="B201" s="12" t="s">
        <v>357</v>
      </c>
      <c r="C201" s="13" t="s">
        <v>362</v>
      </c>
      <c r="D201" s="13" t="s">
        <v>355</v>
      </c>
      <c r="E201" s="13" t="s">
        <v>360</v>
      </c>
      <c r="F201" s="12" t="s">
        <v>274</v>
      </c>
      <c r="G201" s="12" t="s">
        <v>276</v>
      </c>
      <c r="H201" s="13" t="s">
        <v>363</v>
      </c>
    </row>
    <row r="202" customFormat="false" ht="60" hidden="false" customHeight="true" outlineLevel="0" collapsed="false">
      <c r="A202" s="12" t="s">
        <v>140</v>
      </c>
      <c r="B202" s="12" t="s">
        <v>360</v>
      </c>
      <c r="C202" s="13" t="s">
        <v>299</v>
      </c>
      <c r="D202" s="13" t="s">
        <v>364</v>
      </c>
      <c r="E202" s="13" t="s">
        <v>385</v>
      </c>
      <c r="F202" s="12" t="s">
        <v>274</v>
      </c>
      <c r="G202" s="12" t="s">
        <v>302</v>
      </c>
      <c r="H202" s="13" t="s">
        <v>366</v>
      </c>
    </row>
    <row r="203" customFormat="false" ht="60" hidden="false" customHeight="true" outlineLevel="0" collapsed="false">
      <c r="A203" s="12" t="s">
        <v>140</v>
      </c>
      <c r="B203" s="12" t="s">
        <v>385</v>
      </c>
      <c r="C203" s="13" t="s">
        <v>304</v>
      </c>
      <c r="D203" s="13" t="s">
        <v>360</v>
      </c>
      <c r="E203" s="13" t="s">
        <v>367</v>
      </c>
      <c r="F203" s="12" t="s">
        <v>274</v>
      </c>
      <c r="G203" s="12" t="s">
        <v>276</v>
      </c>
      <c r="H203" s="13" t="s">
        <v>386</v>
      </c>
    </row>
    <row r="204" customFormat="false" ht="60" hidden="false" customHeight="true" outlineLevel="0" collapsed="false">
      <c r="A204" s="12" t="s">
        <v>140</v>
      </c>
      <c r="B204" s="12" t="s">
        <v>367</v>
      </c>
      <c r="C204" s="13" t="s">
        <v>369</v>
      </c>
      <c r="D204" s="13" t="s">
        <v>385</v>
      </c>
      <c r="E204" s="13" t="s">
        <v>370</v>
      </c>
      <c r="F204" s="12" t="s">
        <v>274</v>
      </c>
      <c r="G204" s="12" t="s">
        <v>371</v>
      </c>
      <c r="H204" s="13" t="s">
        <v>372</v>
      </c>
    </row>
    <row r="205" customFormat="false" ht="60" hidden="false" customHeight="true" outlineLevel="0" collapsed="false">
      <c r="A205" s="12" t="s">
        <v>140</v>
      </c>
      <c r="B205" s="12" t="s">
        <v>370</v>
      </c>
      <c r="C205" s="13" t="s">
        <v>373</v>
      </c>
      <c r="D205" s="13" t="s">
        <v>367</v>
      </c>
      <c r="E205" s="13" t="s">
        <v>310</v>
      </c>
      <c r="F205" s="12" t="s">
        <v>274</v>
      </c>
      <c r="G205" s="12" t="s">
        <v>371</v>
      </c>
      <c r="H205" s="13" t="s">
        <v>374</v>
      </c>
    </row>
    <row r="206" customFormat="false" ht="60" hidden="false" customHeight="true" outlineLevel="0" collapsed="false">
      <c r="A206" s="12" t="s">
        <v>140</v>
      </c>
      <c r="B206" s="12" t="s">
        <v>310</v>
      </c>
      <c r="C206" s="13" t="s">
        <v>273</v>
      </c>
      <c r="D206" s="13" t="s">
        <v>370</v>
      </c>
      <c r="E206" s="13" t="s">
        <v>274</v>
      </c>
      <c r="F206" s="12" t="s">
        <v>274</v>
      </c>
      <c r="G206" s="12" t="s">
        <v>371</v>
      </c>
      <c r="H206" s="13" t="s">
        <v>315</v>
      </c>
    </row>
    <row r="207" customFormat="false" ht="60" hidden="false" customHeight="true" outlineLevel="0" collapsed="false">
      <c r="A207" s="12" t="s">
        <v>147</v>
      </c>
      <c r="B207" s="12" t="s">
        <v>272</v>
      </c>
      <c r="C207" s="13" t="s">
        <v>273</v>
      </c>
      <c r="D207" s="13" t="s">
        <v>274</v>
      </c>
      <c r="E207" s="13" t="s">
        <v>387</v>
      </c>
      <c r="F207" s="12" t="s">
        <v>274</v>
      </c>
      <c r="G207" s="12" t="s">
        <v>276</v>
      </c>
      <c r="H207" s="13" t="s">
        <v>277</v>
      </c>
    </row>
    <row r="208" customFormat="false" ht="60" hidden="false" customHeight="true" outlineLevel="0" collapsed="false">
      <c r="A208" s="12" t="s">
        <v>147</v>
      </c>
      <c r="B208" s="12" t="s">
        <v>387</v>
      </c>
      <c r="C208" s="13" t="s">
        <v>359</v>
      </c>
      <c r="D208" s="13" t="s">
        <v>272</v>
      </c>
      <c r="E208" s="13" t="s">
        <v>388</v>
      </c>
      <c r="F208" s="12" t="s">
        <v>274</v>
      </c>
      <c r="G208" s="12" t="s">
        <v>276</v>
      </c>
      <c r="H208" s="13" t="s">
        <v>389</v>
      </c>
    </row>
    <row r="209" customFormat="false" ht="60" hidden="false" customHeight="true" outlineLevel="0" collapsed="false">
      <c r="A209" s="12" t="s">
        <v>147</v>
      </c>
      <c r="B209" s="12" t="s">
        <v>388</v>
      </c>
      <c r="C209" s="13" t="s">
        <v>390</v>
      </c>
      <c r="D209" s="13" t="s">
        <v>387</v>
      </c>
      <c r="E209" s="13" t="s">
        <v>391</v>
      </c>
      <c r="F209" s="12" t="s">
        <v>274</v>
      </c>
      <c r="G209" s="12" t="s">
        <v>276</v>
      </c>
      <c r="H209" s="13" t="s">
        <v>392</v>
      </c>
    </row>
    <row r="210" customFormat="false" ht="60" hidden="false" customHeight="true" outlineLevel="0" collapsed="false">
      <c r="A210" s="12" t="s">
        <v>147</v>
      </c>
      <c r="B210" s="12" t="s">
        <v>391</v>
      </c>
      <c r="C210" s="13" t="s">
        <v>393</v>
      </c>
      <c r="D210" s="13" t="s">
        <v>388</v>
      </c>
      <c r="E210" s="13" t="s">
        <v>394</v>
      </c>
      <c r="F210" s="12" t="s">
        <v>274</v>
      </c>
      <c r="G210" s="12" t="s">
        <v>276</v>
      </c>
      <c r="H210" s="13" t="s">
        <v>395</v>
      </c>
    </row>
    <row r="211" customFormat="false" ht="60" hidden="false" customHeight="true" outlineLevel="0" collapsed="false">
      <c r="A211" s="12" t="s">
        <v>147</v>
      </c>
      <c r="B211" s="12" t="s">
        <v>394</v>
      </c>
      <c r="C211" s="13" t="s">
        <v>390</v>
      </c>
      <c r="D211" s="13" t="s">
        <v>391</v>
      </c>
      <c r="E211" s="13" t="s">
        <v>396</v>
      </c>
      <c r="F211" s="12" t="s">
        <v>274</v>
      </c>
      <c r="G211" s="12" t="s">
        <v>276</v>
      </c>
      <c r="H211" s="13" t="s">
        <v>397</v>
      </c>
    </row>
    <row r="212" customFormat="false" ht="60" hidden="false" customHeight="true" outlineLevel="0" collapsed="false">
      <c r="A212" s="12" t="s">
        <v>147</v>
      </c>
      <c r="B212" s="12" t="s">
        <v>396</v>
      </c>
      <c r="C212" s="13" t="s">
        <v>393</v>
      </c>
      <c r="D212" s="13" t="s">
        <v>394</v>
      </c>
      <c r="E212" s="13" t="s">
        <v>398</v>
      </c>
      <c r="F212" s="12" t="s">
        <v>274</v>
      </c>
      <c r="G212" s="12" t="s">
        <v>276</v>
      </c>
      <c r="H212" s="13" t="s">
        <v>399</v>
      </c>
    </row>
    <row r="213" customFormat="false" ht="60" hidden="false" customHeight="true" outlineLevel="0" collapsed="false">
      <c r="A213" s="12" t="s">
        <v>147</v>
      </c>
      <c r="B213" s="12" t="s">
        <v>398</v>
      </c>
      <c r="C213" s="13" t="s">
        <v>390</v>
      </c>
      <c r="D213" s="13" t="s">
        <v>396</v>
      </c>
      <c r="E213" s="13" t="s">
        <v>400</v>
      </c>
      <c r="F213" s="12" t="s">
        <v>274</v>
      </c>
      <c r="G213" s="12" t="s">
        <v>276</v>
      </c>
      <c r="H213" s="13" t="s">
        <v>401</v>
      </c>
    </row>
    <row r="214" customFormat="false" ht="60" hidden="false" customHeight="true" outlineLevel="0" collapsed="false">
      <c r="A214" s="12" t="s">
        <v>147</v>
      </c>
      <c r="B214" s="12" t="s">
        <v>400</v>
      </c>
      <c r="C214" s="13" t="s">
        <v>402</v>
      </c>
      <c r="D214" s="13" t="s">
        <v>398</v>
      </c>
      <c r="E214" s="13" t="s">
        <v>403</v>
      </c>
      <c r="F214" s="12" t="s">
        <v>274</v>
      </c>
      <c r="G214" s="12" t="s">
        <v>276</v>
      </c>
      <c r="H214" s="13" t="s">
        <v>404</v>
      </c>
    </row>
    <row r="215" customFormat="false" ht="60" hidden="false" customHeight="true" outlineLevel="0" collapsed="false">
      <c r="A215" s="12" t="s">
        <v>147</v>
      </c>
      <c r="B215" s="12" t="s">
        <v>403</v>
      </c>
      <c r="C215" s="13" t="s">
        <v>373</v>
      </c>
      <c r="D215" s="13" t="s">
        <v>400</v>
      </c>
      <c r="E215" s="13" t="s">
        <v>310</v>
      </c>
      <c r="F215" s="12" t="s">
        <v>274</v>
      </c>
      <c r="G215" s="12" t="s">
        <v>276</v>
      </c>
      <c r="H215" s="13" t="s">
        <v>405</v>
      </c>
    </row>
    <row r="216" customFormat="false" ht="60" hidden="false" customHeight="true" outlineLevel="0" collapsed="false">
      <c r="A216" s="12" t="s">
        <v>147</v>
      </c>
      <c r="B216" s="12" t="s">
        <v>406</v>
      </c>
      <c r="C216" s="13" t="s">
        <v>407</v>
      </c>
      <c r="D216" s="13" t="s">
        <v>408</v>
      </c>
      <c r="E216" s="13" t="s">
        <v>409</v>
      </c>
      <c r="F216" s="12" t="s">
        <v>274</v>
      </c>
      <c r="G216" s="12" t="s">
        <v>410</v>
      </c>
      <c r="H216" s="13" t="s">
        <v>411</v>
      </c>
    </row>
    <row r="217" customFormat="false" ht="60" hidden="false" customHeight="true" outlineLevel="0" collapsed="false">
      <c r="A217" s="12" t="s">
        <v>147</v>
      </c>
      <c r="B217" s="12" t="s">
        <v>409</v>
      </c>
      <c r="C217" s="13" t="s">
        <v>412</v>
      </c>
      <c r="D217" s="13" t="s">
        <v>406</v>
      </c>
      <c r="E217" s="13" t="s">
        <v>310</v>
      </c>
      <c r="F217" s="12" t="s">
        <v>274</v>
      </c>
      <c r="G217" s="12" t="s">
        <v>371</v>
      </c>
      <c r="H217" s="13" t="s">
        <v>413</v>
      </c>
    </row>
    <row r="218" customFormat="false" ht="60" hidden="false" customHeight="true" outlineLevel="0" collapsed="false">
      <c r="A218" s="12" t="s">
        <v>147</v>
      </c>
      <c r="B218" s="12" t="s">
        <v>310</v>
      </c>
      <c r="C218" s="13" t="s">
        <v>273</v>
      </c>
      <c r="D218" s="13" t="s">
        <v>414</v>
      </c>
      <c r="E218" s="13" t="s">
        <v>274</v>
      </c>
      <c r="F218" s="12" t="s">
        <v>274</v>
      </c>
      <c r="G218" s="12" t="s">
        <v>302</v>
      </c>
      <c r="H218" s="13" t="s">
        <v>315</v>
      </c>
    </row>
    <row r="219" customFormat="false" ht="60" hidden="false" customHeight="true" outlineLevel="0" collapsed="false">
      <c r="A219" s="12" t="s">
        <v>152</v>
      </c>
      <c r="B219" s="12" t="s">
        <v>272</v>
      </c>
      <c r="C219" s="13" t="s">
        <v>273</v>
      </c>
      <c r="D219" s="13" t="s">
        <v>274</v>
      </c>
      <c r="E219" s="13" t="s">
        <v>415</v>
      </c>
      <c r="F219" s="12" t="s">
        <v>274</v>
      </c>
      <c r="G219" s="12" t="s">
        <v>276</v>
      </c>
      <c r="H219" s="13" t="s">
        <v>277</v>
      </c>
    </row>
    <row r="220" customFormat="false" ht="60" hidden="false" customHeight="true" outlineLevel="0" collapsed="false">
      <c r="A220" s="12" t="s">
        <v>152</v>
      </c>
      <c r="B220" s="12" t="s">
        <v>415</v>
      </c>
      <c r="C220" s="13" t="s">
        <v>359</v>
      </c>
      <c r="D220" s="13" t="s">
        <v>272</v>
      </c>
      <c r="E220" s="13" t="s">
        <v>388</v>
      </c>
      <c r="F220" s="12" t="s">
        <v>274</v>
      </c>
      <c r="G220" s="12" t="s">
        <v>276</v>
      </c>
      <c r="H220" s="13" t="s">
        <v>416</v>
      </c>
    </row>
    <row r="221" customFormat="false" ht="60" hidden="false" customHeight="true" outlineLevel="0" collapsed="false">
      <c r="A221" s="12" t="s">
        <v>152</v>
      </c>
      <c r="B221" s="12" t="s">
        <v>388</v>
      </c>
      <c r="C221" s="13" t="s">
        <v>390</v>
      </c>
      <c r="D221" s="13" t="s">
        <v>415</v>
      </c>
      <c r="E221" s="13" t="s">
        <v>391</v>
      </c>
      <c r="F221" s="12" t="s">
        <v>274</v>
      </c>
      <c r="G221" s="12" t="s">
        <v>276</v>
      </c>
      <c r="H221" s="13" t="s">
        <v>392</v>
      </c>
    </row>
    <row r="222" customFormat="false" ht="60" hidden="false" customHeight="true" outlineLevel="0" collapsed="false">
      <c r="A222" s="12" t="s">
        <v>152</v>
      </c>
      <c r="B222" s="12" t="s">
        <v>391</v>
      </c>
      <c r="C222" s="13" t="s">
        <v>393</v>
      </c>
      <c r="D222" s="13" t="s">
        <v>388</v>
      </c>
      <c r="E222" s="13" t="s">
        <v>394</v>
      </c>
      <c r="F222" s="12" t="s">
        <v>274</v>
      </c>
      <c r="G222" s="12" t="s">
        <v>276</v>
      </c>
      <c r="H222" s="13" t="s">
        <v>395</v>
      </c>
    </row>
    <row r="223" customFormat="false" ht="60" hidden="false" customHeight="true" outlineLevel="0" collapsed="false">
      <c r="A223" s="12" t="s">
        <v>152</v>
      </c>
      <c r="B223" s="12" t="s">
        <v>394</v>
      </c>
      <c r="C223" s="13" t="s">
        <v>390</v>
      </c>
      <c r="D223" s="13" t="s">
        <v>391</v>
      </c>
      <c r="E223" s="13" t="s">
        <v>396</v>
      </c>
      <c r="F223" s="12" t="s">
        <v>274</v>
      </c>
      <c r="G223" s="12" t="s">
        <v>276</v>
      </c>
      <c r="H223" s="13" t="s">
        <v>397</v>
      </c>
    </row>
    <row r="224" customFormat="false" ht="60" hidden="false" customHeight="true" outlineLevel="0" collapsed="false">
      <c r="A224" s="12" t="s">
        <v>152</v>
      </c>
      <c r="B224" s="12" t="s">
        <v>396</v>
      </c>
      <c r="C224" s="13" t="s">
        <v>393</v>
      </c>
      <c r="D224" s="13" t="s">
        <v>394</v>
      </c>
      <c r="E224" s="13" t="s">
        <v>398</v>
      </c>
      <c r="F224" s="12" t="s">
        <v>274</v>
      </c>
      <c r="G224" s="12" t="s">
        <v>276</v>
      </c>
      <c r="H224" s="13" t="s">
        <v>399</v>
      </c>
    </row>
    <row r="225" customFormat="false" ht="60" hidden="false" customHeight="true" outlineLevel="0" collapsed="false">
      <c r="A225" s="12" t="s">
        <v>152</v>
      </c>
      <c r="B225" s="12" t="s">
        <v>398</v>
      </c>
      <c r="C225" s="13" t="s">
        <v>390</v>
      </c>
      <c r="D225" s="13" t="s">
        <v>396</v>
      </c>
      <c r="E225" s="13" t="s">
        <v>400</v>
      </c>
      <c r="F225" s="12" t="s">
        <v>274</v>
      </c>
      <c r="G225" s="12" t="s">
        <v>276</v>
      </c>
      <c r="H225" s="13" t="s">
        <v>401</v>
      </c>
    </row>
    <row r="226" customFormat="false" ht="60" hidden="false" customHeight="true" outlineLevel="0" collapsed="false">
      <c r="A226" s="12" t="s">
        <v>152</v>
      </c>
      <c r="B226" s="12" t="s">
        <v>400</v>
      </c>
      <c r="C226" s="13" t="s">
        <v>402</v>
      </c>
      <c r="D226" s="13" t="s">
        <v>398</v>
      </c>
      <c r="E226" s="13" t="s">
        <v>403</v>
      </c>
      <c r="F226" s="12" t="s">
        <v>274</v>
      </c>
      <c r="G226" s="12" t="s">
        <v>276</v>
      </c>
      <c r="H226" s="13" t="s">
        <v>417</v>
      </c>
    </row>
    <row r="227" customFormat="false" ht="60" hidden="false" customHeight="true" outlineLevel="0" collapsed="false">
      <c r="A227" s="12" t="s">
        <v>152</v>
      </c>
      <c r="B227" s="12" t="s">
        <v>403</v>
      </c>
      <c r="C227" s="13" t="s">
        <v>373</v>
      </c>
      <c r="D227" s="13" t="s">
        <v>400</v>
      </c>
      <c r="E227" s="13" t="s">
        <v>310</v>
      </c>
      <c r="F227" s="12" t="s">
        <v>274</v>
      </c>
      <c r="G227" s="12" t="s">
        <v>276</v>
      </c>
      <c r="H227" s="13" t="s">
        <v>405</v>
      </c>
    </row>
    <row r="228" customFormat="false" ht="60" hidden="false" customHeight="true" outlineLevel="0" collapsed="false">
      <c r="A228" s="12" t="s">
        <v>152</v>
      </c>
      <c r="B228" s="12" t="s">
        <v>406</v>
      </c>
      <c r="C228" s="13" t="s">
        <v>407</v>
      </c>
      <c r="D228" s="13" t="s">
        <v>408</v>
      </c>
      <c r="E228" s="13" t="s">
        <v>409</v>
      </c>
      <c r="F228" s="12" t="s">
        <v>274</v>
      </c>
      <c r="G228" s="12" t="s">
        <v>410</v>
      </c>
      <c r="H228" s="13" t="s">
        <v>411</v>
      </c>
    </row>
    <row r="229" customFormat="false" ht="60" hidden="false" customHeight="true" outlineLevel="0" collapsed="false">
      <c r="A229" s="12" t="s">
        <v>152</v>
      </c>
      <c r="B229" s="12" t="s">
        <v>409</v>
      </c>
      <c r="C229" s="13" t="s">
        <v>412</v>
      </c>
      <c r="D229" s="13" t="s">
        <v>406</v>
      </c>
      <c r="E229" s="13" t="s">
        <v>310</v>
      </c>
      <c r="F229" s="12" t="s">
        <v>274</v>
      </c>
      <c r="G229" s="12" t="s">
        <v>371</v>
      </c>
      <c r="H229" s="13" t="s">
        <v>413</v>
      </c>
    </row>
    <row r="230" customFormat="false" ht="60" hidden="false" customHeight="true" outlineLevel="0" collapsed="false">
      <c r="A230" s="12" t="s">
        <v>152</v>
      </c>
      <c r="B230" s="12" t="s">
        <v>310</v>
      </c>
      <c r="C230" s="13" t="s">
        <v>273</v>
      </c>
      <c r="D230" s="13" t="s">
        <v>414</v>
      </c>
      <c r="E230" s="13" t="s">
        <v>274</v>
      </c>
      <c r="F230" s="12" t="s">
        <v>274</v>
      </c>
      <c r="G230" s="12" t="s">
        <v>302</v>
      </c>
      <c r="H230" s="13" t="s">
        <v>315</v>
      </c>
    </row>
    <row r="231" customFormat="false" ht="60" hidden="false" customHeight="true" outlineLevel="0" collapsed="false">
      <c r="A231" s="12" t="s">
        <v>154</v>
      </c>
      <c r="B231" s="12" t="s">
        <v>272</v>
      </c>
      <c r="C231" s="13" t="s">
        <v>273</v>
      </c>
      <c r="D231" s="13" t="s">
        <v>274</v>
      </c>
      <c r="E231" s="13" t="s">
        <v>418</v>
      </c>
      <c r="F231" s="12" t="s">
        <v>274</v>
      </c>
      <c r="G231" s="12" t="s">
        <v>276</v>
      </c>
      <c r="H231" s="13" t="s">
        <v>277</v>
      </c>
    </row>
    <row r="232" customFormat="false" ht="60" hidden="false" customHeight="true" outlineLevel="0" collapsed="false">
      <c r="A232" s="12" t="s">
        <v>154</v>
      </c>
      <c r="B232" s="12" t="s">
        <v>418</v>
      </c>
      <c r="C232" s="13" t="s">
        <v>359</v>
      </c>
      <c r="D232" s="13" t="s">
        <v>272</v>
      </c>
      <c r="E232" s="13" t="s">
        <v>388</v>
      </c>
      <c r="F232" s="12" t="s">
        <v>274</v>
      </c>
      <c r="G232" s="12" t="s">
        <v>276</v>
      </c>
      <c r="H232" s="13" t="s">
        <v>419</v>
      </c>
    </row>
    <row r="233" customFormat="false" ht="60" hidden="false" customHeight="true" outlineLevel="0" collapsed="false">
      <c r="A233" s="12" t="s">
        <v>154</v>
      </c>
      <c r="B233" s="12" t="s">
        <v>388</v>
      </c>
      <c r="C233" s="13" t="s">
        <v>390</v>
      </c>
      <c r="D233" s="13" t="s">
        <v>418</v>
      </c>
      <c r="E233" s="13" t="s">
        <v>391</v>
      </c>
      <c r="F233" s="12" t="s">
        <v>274</v>
      </c>
      <c r="G233" s="12" t="s">
        <v>276</v>
      </c>
      <c r="H233" s="13" t="s">
        <v>392</v>
      </c>
    </row>
    <row r="234" customFormat="false" ht="60" hidden="false" customHeight="true" outlineLevel="0" collapsed="false">
      <c r="A234" s="12" t="s">
        <v>154</v>
      </c>
      <c r="B234" s="12" t="s">
        <v>391</v>
      </c>
      <c r="C234" s="13" t="s">
        <v>393</v>
      </c>
      <c r="D234" s="13" t="s">
        <v>388</v>
      </c>
      <c r="E234" s="13" t="s">
        <v>394</v>
      </c>
      <c r="F234" s="12" t="s">
        <v>274</v>
      </c>
      <c r="G234" s="12" t="s">
        <v>276</v>
      </c>
      <c r="H234" s="13" t="s">
        <v>395</v>
      </c>
    </row>
    <row r="235" customFormat="false" ht="60" hidden="false" customHeight="true" outlineLevel="0" collapsed="false">
      <c r="A235" s="12" t="s">
        <v>154</v>
      </c>
      <c r="B235" s="12" t="s">
        <v>394</v>
      </c>
      <c r="C235" s="13" t="s">
        <v>390</v>
      </c>
      <c r="D235" s="13" t="s">
        <v>391</v>
      </c>
      <c r="E235" s="13" t="s">
        <v>396</v>
      </c>
      <c r="F235" s="12" t="s">
        <v>274</v>
      </c>
      <c r="G235" s="12" t="s">
        <v>276</v>
      </c>
      <c r="H235" s="13" t="s">
        <v>397</v>
      </c>
    </row>
    <row r="236" customFormat="false" ht="60" hidden="false" customHeight="true" outlineLevel="0" collapsed="false">
      <c r="A236" s="12" t="s">
        <v>154</v>
      </c>
      <c r="B236" s="12" t="s">
        <v>396</v>
      </c>
      <c r="C236" s="13" t="s">
        <v>393</v>
      </c>
      <c r="D236" s="13" t="s">
        <v>394</v>
      </c>
      <c r="E236" s="13" t="s">
        <v>398</v>
      </c>
      <c r="F236" s="12" t="s">
        <v>274</v>
      </c>
      <c r="G236" s="12" t="s">
        <v>276</v>
      </c>
      <c r="H236" s="13" t="s">
        <v>399</v>
      </c>
    </row>
    <row r="237" customFormat="false" ht="60" hidden="false" customHeight="true" outlineLevel="0" collapsed="false">
      <c r="A237" s="12" t="s">
        <v>154</v>
      </c>
      <c r="B237" s="12" t="s">
        <v>398</v>
      </c>
      <c r="C237" s="13" t="s">
        <v>390</v>
      </c>
      <c r="D237" s="13" t="s">
        <v>396</v>
      </c>
      <c r="E237" s="13" t="s">
        <v>400</v>
      </c>
      <c r="F237" s="12" t="s">
        <v>274</v>
      </c>
      <c r="G237" s="12" t="s">
        <v>276</v>
      </c>
      <c r="H237" s="13" t="s">
        <v>401</v>
      </c>
    </row>
    <row r="238" customFormat="false" ht="60" hidden="false" customHeight="true" outlineLevel="0" collapsed="false">
      <c r="A238" s="12" t="s">
        <v>154</v>
      </c>
      <c r="B238" s="12" t="s">
        <v>400</v>
      </c>
      <c r="C238" s="13" t="s">
        <v>402</v>
      </c>
      <c r="D238" s="13" t="s">
        <v>398</v>
      </c>
      <c r="E238" s="13" t="s">
        <v>403</v>
      </c>
      <c r="F238" s="12" t="s">
        <v>274</v>
      </c>
      <c r="G238" s="12" t="s">
        <v>276</v>
      </c>
      <c r="H238" s="13" t="s">
        <v>420</v>
      </c>
    </row>
    <row r="239" customFormat="false" ht="60" hidden="false" customHeight="true" outlineLevel="0" collapsed="false">
      <c r="A239" s="12" t="s">
        <v>154</v>
      </c>
      <c r="B239" s="12" t="s">
        <v>403</v>
      </c>
      <c r="C239" s="13" t="s">
        <v>373</v>
      </c>
      <c r="D239" s="13" t="s">
        <v>400</v>
      </c>
      <c r="E239" s="13" t="s">
        <v>310</v>
      </c>
      <c r="F239" s="12" t="s">
        <v>274</v>
      </c>
      <c r="G239" s="12" t="s">
        <v>276</v>
      </c>
      <c r="H239" s="13" t="s">
        <v>405</v>
      </c>
    </row>
    <row r="240" customFormat="false" ht="60" hidden="false" customHeight="true" outlineLevel="0" collapsed="false">
      <c r="A240" s="12" t="s">
        <v>154</v>
      </c>
      <c r="B240" s="12" t="s">
        <v>406</v>
      </c>
      <c r="C240" s="13" t="s">
        <v>407</v>
      </c>
      <c r="D240" s="13" t="s">
        <v>408</v>
      </c>
      <c r="E240" s="13" t="s">
        <v>409</v>
      </c>
      <c r="F240" s="12" t="s">
        <v>274</v>
      </c>
      <c r="G240" s="12" t="s">
        <v>410</v>
      </c>
      <c r="H240" s="13" t="s">
        <v>411</v>
      </c>
    </row>
    <row r="241" customFormat="false" ht="60" hidden="false" customHeight="true" outlineLevel="0" collapsed="false">
      <c r="A241" s="12" t="s">
        <v>154</v>
      </c>
      <c r="B241" s="12" t="s">
        <v>409</v>
      </c>
      <c r="C241" s="13" t="s">
        <v>412</v>
      </c>
      <c r="D241" s="13" t="s">
        <v>406</v>
      </c>
      <c r="E241" s="13" t="s">
        <v>310</v>
      </c>
      <c r="F241" s="12" t="s">
        <v>274</v>
      </c>
      <c r="G241" s="12" t="s">
        <v>371</v>
      </c>
      <c r="H241" s="13" t="s">
        <v>413</v>
      </c>
    </row>
    <row r="242" customFormat="false" ht="60" hidden="false" customHeight="true" outlineLevel="0" collapsed="false">
      <c r="A242" s="12" t="s">
        <v>154</v>
      </c>
      <c r="B242" s="12" t="s">
        <v>310</v>
      </c>
      <c r="C242" s="13" t="s">
        <v>273</v>
      </c>
      <c r="D242" s="13" t="s">
        <v>414</v>
      </c>
      <c r="E242" s="13" t="s">
        <v>274</v>
      </c>
      <c r="F242" s="12" t="s">
        <v>274</v>
      </c>
      <c r="G242" s="12" t="s">
        <v>302</v>
      </c>
      <c r="H242" s="13" t="s">
        <v>315</v>
      </c>
    </row>
    <row r="243" customFormat="false" ht="60" hidden="false" customHeight="true" outlineLevel="0" collapsed="false">
      <c r="A243" s="12" t="s">
        <v>157</v>
      </c>
      <c r="B243" s="12" t="s">
        <v>272</v>
      </c>
      <c r="C243" s="13" t="s">
        <v>273</v>
      </c>
      <c r="D243" s="13" t="s">
        <v>274</v>
      </c>
      <c r="E243" s="13" t="s">
        <v>421</v>
      </c>
      <c r="F243" s="12" t="s">
        <v>274</v>
      </c>
      <c r="G243" s="12" t="s">
        <v>276</v>
      </c>
      <c r="H243" s="13" t="s">
        <v>277</v>
      </c>
    </row>
    <row r="244" customFormat="false" ht="60" hidden="false" customHeight="true" outlineLevel="0" collapsed="false">
      <c r="A244" s="12" t="s">
        <v>157</v>
      </c>
      <c r="B244" s="12" t="s">
        <v>421</v>
      </c>
      <c r="C244" s="13" t="s">
        <v>359</v>
      </c>
      <c r="D244" s="13" t="s">
        <v>272</v>
      </c>
      <c r="E244" s="13" t="s">
        <v>388</v>
      </c>
      <c r="F244" s="12" t="s">
        <v>274</v>
      </c>
      <c r="G244" s="12" t="s">
        <v>276</v>
      </c>
      <c r="H244" s="13" t="s">
        <v>422</v>
      </c>
    </row>
    <row r="245" customFormat="false" ht="60" hidden="false" customHeight="true" outlineLevel="0" collapsed="false">
      <c r="A245" s="12" t="s">
        <v>157</v>
      </c>
      <c r="B245" s="12" t="s">
        <v>388</v>
      </c>
      <c r="C245" s="13" t="s">
        <v>390</v>
      </c>
      <c r="D245" s="13" t="s">
        <v>421</v>
      </c>
      <c r="E245" s="13" t="s">
        <v>391</v>
      </c>
      <c r="F245" s="12" t="s">
        <v>274</v>
      </c>
      <c r="G245" s="12" t="s">
        <v>276</v>
      </c>
      <c r="H245" s="13" t="s">
        <v>392</v>
      </c>
    </row>
    <row r="246" customFormat="false" ht="60" hidden="false" customHeight="true" outlineLevel="0" collapsed="false">
      <c r="A246" s="12" t="s">
        <v>157</v>
      </c>
      <c r="B246" s="12" t="s">
        <v>391</v>
      </c>
      <c r="C246" s="13" t="s">
        <v>393</v>
      </c>
      <c r="D246" s="13" t="s">
        <v>388</v>
      </c>
      <c r="E246" s="13" t="s">
        <v>394</v>
      </c>
      <c r="F246" s="12" t="s">
        <v>274</v>
      </c>
      <c r="G246" s="12" t="s">
        <v>276</v>
      </c>
      <c r="H246" s="13" t="s">
        <v>395</v>
      </c>
    </row>
    <row r="247" customFormat="false" ht="60" hidden="false" customHeight="true" outlineLevel="0" collapsed="false">
      <c r="A247" s="12" t="s">
        <v>157</v>
      </c>
      <c r="B247" s="12" t="s">
        <v>394</v>
      </c>
      <c r="C247" s="13" t="s">
        <v>390</v>
      </c>
      <c r="D247" s="13" t="s">
        <v>391</v>
      </c>
      <c r="E247" s="13" t="s">
        <v>396</v>
      </c>
      <c r="F247" s="12" t="s">
        <v>274</v>
      </c>
      <c r="G247" s="12" t="s">
        <v>276</v>
      </c>
      <c r="H247" s="13" t="s">
        <v>397</v>
      </c>
    </row>
    <row r="248" customFormat="false" ht="60" hidden="false" customHeight="true" outlineLevel="0" collapsed="false">
      <c r="A248" s="12" t="s">
        <v>157</v>
      </c>
      <c r="B248" s="12" t="s">
        <v>396</v>
      </c>
      <c r="C248" s="13" t="s">
        <v>393</v>
      </c>
      <c r="D248" s="13" t="s">
        <v>394</v>
      </c>
      <c r="E248" s="13" t="s">
        <v>398</v>
      </c>
      <c r="F248" s="12" t="s">
        <v>274</v>
      </c>
      <c r="G248" s="12" t="s">
        <v>276</v>
      </c>
      <c r="H248" s="13" t="s">
        <v>399</v>
      </c>
    </row>
    <row r="249" customFormat="false" ht="60" hidden="false" customHeight="true" outlineLevel="0" collapsed="false">
      <c r="A249" s="12" t="s">
        <v>157</v>
      </c>
      <c r="B249" s="12" t="s">
        <v>398</v>
      </c>
      <c r="C249" s="13" t="s">
        <v>390</v>
      </c>
      <c r="D249" s="13" t="s">
        <v>396</v>
      </c>
      <c r="E249" s="13" t="s">
        <v>400</v>
      </c>
      <c r="F249" s="12" t="s">
        <v>274</v>
      </c>
      <c r="G249" s="12" t="s">
        <v>276</v>
      </c>
      <c r="H249" s="13" t="s">
        <v>401</v>
      </c>
    </row>
    <row r="250" customFormat="false" ht="60" hidden="false" customHeight="true" outlineLevel="0" collapsed="false">
      <c r="A250" s="12" t="s">
        <v>157</v>
      </c>
      <c r="B250" s="12" t="s">
        <v>400</v>
      </c>
      <c r="C250" s="13" t="s">
        <v>402</v>
      </c>
      <c r="D250" s="13" t="s">
        <v>398</v>
      </c>
      <c r="E250" s="13" t="s">
        <v>403</v>
      </c>
      <c r="F250" s="12" t="s">
        <v>274</v>
      </c>
      <c r="G250" s="12" t="s">
        <v>276</v>
      </c>
      <c r="H250" s="13" t="s">
        <v>423</v>
      </c>
    </row>
    <row r="251" customFormat="false" ht="60" hidden="false" customHeight="true" outlineLevel="0" collapsed="false">
      <c r="A251" s="12" t="s">
        <v>157</v>
      </c>
      <c r="B251" s="12" t="s">
        <v>403</v>
      </c>
      <c r="C251" s="13" t="s">
        <v>373</v>
      </c>
      <c r="D251" s="13" t="s">
        <v>400</v>
      </c>
      <c r="E251" s="13" t="s">
        <v>310</v>
      </c>
      <c r="F251" s="12" t="s">
        <v>274</v>
      </c>
      <c r="G251" s="12" t="s">
        <v>276</v>
      </c>
      <c r="H251" s="13" t="s">
        <v>405</v>
      </c>
    </row>
    <row r="252" customFormat="false" ht="60" hidden="false" customHeight="true" outlineLevel="0" collapsed="false">
      <c r="A252" s="12" t="s">
        <v>157</v>
      </c>
      <c r="B252" s="12" t="s">
        <v>406</v>
      </c>
      <c r="C252" s="13" t="s">
        <v>407</v>
      </c>
      <c r="D252" s="13" t="s">
        <v>408</v>
      </c>
      <c r="E252" s="13" t="s">
        <v>409</v>
      </c>
      <c r="F252" s="12" t="s">
        <v>274</v>
      </c>
      <c r="G252" s="12" t="s">
        <v>410</v>
      </c>
      <c r="H252" s="13" t="s">
        <v>411</v>
      </c>
    </row>
    <row r="253" customFormat="false" ht="60" hidden="false" customHeight="true" outlineLevel="0" collapsed="false">
      <c r="A253" s="12" t="s">
        <v>157</v>
      </c>
      <c r="B253" s="12" t="s">
        <v>409</v>
      </c>
      <c r="C253" s="13" t="s">
        <v>412</v>
      </c>
      <c r="D253" s="13" t="s">
        <v>406</v>
      </c>
      <c r="E253" s="13" t="s">
        <v>310</v>
      </c>
      <c r="F253" s="12" t="s">
        <v>274</v>
      </c>
      <c r="G253" s="12" t="s">
        <v>371</v>
      </c>
      <c r="H253" s="13" t="s">
        <v>413</v>
      </c>
    </row>
    <row r="254" customFormat="false" ht="60" hidden="false" customHeight="true" outlineLevel="0" collapsed="false">
      <c r="A254" s="12" t="s">
        <v>157</v>
      </c>
      <c r="B254" s="12" t="s">
        <v>310</v>
      </c>
      <c r="C254" s="13" t="s">
        <v>273</v>
      </c>
      <c r="D254" s="13" t="s">
        <v>414</v>
      </c>
      <c r="E254" s="13" t="s">
        <v>274</v>
      </c>
      <c r="F254" s="12" t="s">
        <v>274</v>
      </c>
      <c r="G254" s="12" t="s">
        <v>302</v>
      </c>
      <c r="H254" s="13" t="s">
        <v>315</v>
      </c>
    </row>
    <row r="255" customFormat="false" ht="60" hidden="false" customHeight="true" outlineLevel="0" collapsed="false">
      <c r="A255" s="12" t="s">
        <v>161</v>
      </c>
      <c r="B255" s="12" t="s">
        <v>272</v>
      </c>
      <c r="C255" s="13" t="s">
        <v>273</v>
      </c>
      <c r="D255" s="13" t="s">
        <v>274</v>
      </c>
      <c r="E255" s="13" t="s">
        <v>424</v>
      </c>
      <c r="F255" s="12" t="s">
        <v>274</v>
      </c>
      <c r="G255" s="12" t="s">
        <v>276</v>
      </c>
      <c r="H255" s="13" t="s">
        <v>277</v>
      </c>
    </row>
    <row r="256" customFormat="false" ht="60" hidden="false" customHeight="true" outlineLevel="0" collapsed="false">
      <c r="A256" s="12" t="s">
        <v>161</v>
      </c>
      <c r="B256" s="12" t="s">
        <v>424</v>
      </c>
      <c r="C256" s="13" t="s">
        <v>359</v>
      </c>
      <c r="D256" s="13" t="s">
        <v>272</v>
      </c>
      <c r="E256" s="13" t="s">
        <v>388</v>
      </c>
      <c r="F256" s="12" t="s">
        <v>274</v>
      </c>
      <c r="G256" s="12" t="s">
        <v>276</v>
      </c>
      <c r="H256" s="13" t="s">
        <v>425</v>
      </c>
    </row>
    <row r="257" customFormat="false" ht="60" hidden="false" customHeight="true" outlineLevel="0" collapsed="false">
      <c r="A257" s="12" t="s">
        <v>161</v>
      </c>
      <c r="B257" s="12" t="s">
        <v>388</v>
      </c>
      <c r="C257" s="13" t="s">
        <v>390</v>
      </c>
      <c r="D257" s="13" t="s">
        <v>424</v>
      </c>
      <c r="E257" s="13" t="s">
        <v>391</v>
      </c>
      <c r="F257" s="12" t="s">
        <v>274</v>
      </c>
      <c r="G257" s="12" t="s">
        <v>276</v>
      </c>
      <c r="H257" s="13" t="s">
        <v>392</v>
      </c>
    </row>
    <row r="258" customFormat="false" ht="60" hidden="false" customHeight="true" outlineLevel="0" collapsed="false">
      <c r="A258" s="12" t="s">
        <v>161</v>
      </c>
      <c r="B258" s="12" t="s">
        <v>391</v>
      </c>
      <c r="C258" s="13" t="s">
        <v>393</v>
      </c>
      <c r="D258" s="13" t="s">
        <v>388</v>
      </c>
      <c r="E258" s="13" t="s">
        <v>394</v>
      </c>
      <c r="F258" s="12" t="s">
        <v>274</v>
      </c>
      <c r="G258" s="12" t="s">
        <v>276</v>
      </c>
      <c r="H258" s="13" t="s">
        <v>395</v>
      </c>
    </row>
    <row r="259" customFormat="false" ht="60" hidden="false" customHeight="true" outlineLevel="0" collapsed="false">
      <c r="A259" s="12" t="s">
        <v>161</v>
      </c>
      <c r="B259" s="12" t="s">
        <v>394</v>
      </c>
      <c r="C259" s="13" t="s">
        <v>390</v>
      </c>
      <c r="D259" s="13" t="s">
        <v>391</v>
      </c>
      <c r="E259" s="13" t="s">
        <v>396</v>
      </c>
      <c r="F259" s="12" t="s">
        <v>274</v>
      </c>
      <c r="G259" s="12" t="s">
        <v>276</v>
      </c>
      <c r="H259" s="13" t="s">
        <v>397</v>
      </c>
    </row>
    <row r="260" customFormat="false" ht="60" hidden="false" customHeight="true" outlineLevel="0" collapsed="false">
      <c r="A260" s="12" t="s">
        <v>161</v>
      </c>
      <c r="B260" s="12" t="s">
        <v>396</v>
      </c>
      <c r="C260" s="13" t="s">
        <v>393</v>
      </c>
      <c r="D260" s="13" t="s">
        <v>394</v>
      </c>
      <c r="E260" s="13" t="s">
        <v>398</v>
      </c>
      <c r="F260" s="12" t="s">
        <v>274</v>
      </c>
      <c r="G260" s="12" t="s">
        <v>276</v>
      </c>
      <c r="H260" s="13" t="s">
        <v>399</v>
      </c>
    </row>
    <row r="261" customFormat="false" ht="60" hidden="false" customHeight="true" outlineLevel="0" collapsed="false">
      <c r="A261" s="12" t="s">
        <v>161</v>
      </c>
      <c r="B261" s="12" t="s">
        <v>398</v>
      </c>
      <c r="C261" s="13" t="s">
        <v>390</v>
      </c>
      <c r="D261" s="13" t="s">
        <v>396</v>
      </c>
      <c r="E261" s="13" t="s">
        <v>400</v>
      </c>
      <c r="F261" s="12" t="s">
        <v>274</v>
      </c>
      <c r="G261" s="12" t="s">
        <v>276</v>
      </c>
      <c r="H261" s="13" t="s">
        <v>401</v>
      </c>
    </row>
    <row r="262" customFormat="false" ht="60" hidden="false" customHeight="true" outlineLevel="0" collapsed="false">
      <c r="A262" s="12" t="s">
        <v>161</v>
      </c>
      <c r="B262" s="12" t="s">
        <v>400</v>
      </c>
      <c r="C262" s="13" t="s">
        <v>402</v>
      </c>
      <c r="D262" s="13" t="s">
        <v>398</v>
      </c>
      <c r="E262" s="13" t="s">
        <v>403</v>
      </c>
      <c r="F262" s="12" t="s">
        <v>274</v>
      </c>
      <c r="G262" s="12" t="s">
        <v>276</v>
      </c>
      <c r="H262" s="13" t="s">
        <v>426</v>
      </c>
    </row>
    <row r="263" customFormat="false" ht="60" hidden="false" customHeight="true" outlineLevel="0" collapsed="false">
      <c r="A263" s="12" t="s">
        <v>161</v>
      </c>
      <c r="B263" s="12" t="s">
        <v>403</v>
      </c>
      <c r="C263" s="13" t="s">
        <v>373</v>
      </c>
      <c r="D263" s="13" t="s">
        <v>400</v>
      </c>
      <c r="E263" s="13" t="s">
        <v>310</v>
      </c>
      <c r="F263" s="12" t="s">
        <v>274</v>
      </c>
      <c r="G263" s="12" t="s">
        <v>276</v>
      </c>
      <c r="H263" s="13" t="s">
        <v>405</v>
      </c>
    </row>
    <row r="264" customFormat="false" ht="60" hidden="false" customHeight="true" outlineLevel="0" collapsed="false">
      <c r="A264" s="12" t="s">
        <v>161</v>
      </c>
      <c r="B264" s="12" t="s">
        <v>406</v>
      </c>
      <c r="C264" s="13" t="s">
        <v>407</v>
      </c>
      <c r="D264" s="13" t="s">
        <v>408</v>
      </c>
      <c r="E264" s="13" t="s">
        <v>409</v>
      </c>
      <c r="F264" s="12" t="s">
        <v>274</v>
      </c>
      <c r="G264" s="12" t="s">
        <v>410</v>
      </c>
      <c r="H264" s="13" t="s">
        <v>411</v>
      </c>
    </row>
    <row r="265" customFormat="false" ht="60" hidden="false" customHeight="true" outlineLevel="0" collapsed="false">
      <c r="A265" s="12" t="s">
        <v>161</v>
      </c>
      <c r="B265" s="12" t="s">
        <v>409</v>
      </c>
      <c r="C265" s="13" t="s">
        <v>412</v>
      </c>
      <c r="D265" s="13" t="s">
        <v>406</v>
      </c>
      <c r="E265" s="13" t="s">
        <v>310</v>
      </c>
      <c r="F265" s="12" t="s">
        <v>274</v>
      </c>
      <c r="G265" s="12" t="s">
        <v>371</v>
      </c>
      <c r="H265" s="13" t="s">
        <v>413</v>
      </c>
    </row>
    <row r="266" customFormat="false" ht="60" hidden="false" customHeight="true" outlineLevel="0" collapsed="false">
      <c r="A266" s="12" t="s">
        <v>161</v>
      </c>
      <c r="B266" s="12" t="s">
        <v>310</v>
      </c>
      <c r="C266" s="13" t="s">
        <v>273</v>
      </c>
      <c r="D266" s="13" t="s">
        <v>414</v>
      </c>
      <c r="E266" s="13" t="s">
        <v>274</v>
      </c>
      <c r="F266" s="12" t="s">
        <v>274</v>
      </c>
      <c r="G266" s="12" t="s">
        <v>302</v>
      </c>
      <c r="H266" s="13" t="s">
        <v>315</v>
      </c>
    </row>
    <row r="267" customFormat="false" ht="60" hidden="false" customHeight="true" outlineLevel="0" collapsed="false">
      <c r="A267" s="12" t="s">
        <v>164</v>
      </c>
      <c r="B267" s="12" t="s">
        <v>272</v>
      </c>
      <c r="C267" s="13" t="s">
        <v>273</v>
      </c>
      <c r="D267" s="13" t="s">
        <v>274</v>
      </c>
      <c r="E267" s="13" t="s">
        <v>427</v>
      </c>
      <c r="F267" s="12" t="s">
        <v>274</v>
      </c>
      <c r="G267" s="12" t="s">
        <v>276</v>
      </c>
      <c r="H267" s="13" t="s">
        <v>277</v>
      </c>
    </row>
    <row r="268" customFormat="false" ht="60" hidden="false" customHeight="true" outlineLevel="0" collapsed="false">
      <c r="A268" s="12" t="s">
        <v>164</v>
      </c>
      <c r="B268" s="12" t="s">
        <v>427</v>
      </c>
      <c r="C268" s="13" t="s">
        <v>359</v>
      </c>
      <c r="D268" s="13" t="s">
        <v>272</v>
      </c>
      <c r="E268" s="13" t="s">
        <v>388</v>
      </c>
      <c r="F268" s="12" t="s">
        <v>274</v>
      </c>
      <c r="G268" s="12" t="s">
        <v>276</v>
      </c>
      <c r="H268" s="13" t="s">
        <v>428</v>
      </c>
    </row>
    <row r="269" customFormat="false" ht="60" hidden="false" customHeight="true" outlineLevel="0" collapsed="false">
      <c r="A269" s="12" t="s">
        <v>164</v>
      </c>
      <c r="B269" s="12" t="s">
        <v>388</v>
      </c>
      <c r="C269" s="13" t="s">
        <v>390</v>
      </c>
      <c r="D269" s="13" t="s">
        <v>427</v>
      </c>
      <c r="E269" s="13" t="s">
        <v>391</v>
      </c>
      <c r="F269" s="12" t="s">
        <v>274</v>
      </c>
      <c r="G269" s="12" t="s">
        <v>276</v>
      </c>
      <c r="H269" s="13" t="s">
        <v>392</v>
      </c>
    </row>
    <row r="270" customFormat="false" ht="60" hidden="false" customHeight="true" outlineLevel="0" collapsed="false">
      <c r="A270" s="12" t="s">
        <v>164</v>
      </c>
      <c r="B270" s="12" t="s">
        <v>391</v>
      </c>
      <c r="C270" s="13" t="s">
        <v>393</v>
      </c>
      <c r="D270" s="13" t="s">
        <v>388</v>
      </c>
      <c r="E270" s="13" t="s">
        <v>394</v>
      </c>
      <c r="F270" s="12" t="s">
        <v>274</v>
      </c>
      <c r="G270" s="12" t="s">
        <v>276</v>
      </c>
      <c r="H270" s="13" t="s">
        <v>395</v>
      </c>
    </row>
    <row r="271" customFormat="false" ht="60" hidden="false" customHeight="true" outlineLevel="0" collapsed="false">
      <c r="A271" s="12" t="s">
        <v>164</v>
      </c>
      <c r="B271" s="12" t="s">
        <v>394</v>
      </c>
      <c r="C271" s="13" t="s">
        <v>390</v>
      </c>
      <c r="D271" s="13" t="s">
        <v>391</v>
      </c>
      <c r="E271" s="13" t="s">
        <v>396</v>
      </c>
      <c r="F271" s="12" t="s">
        <v>274</v>
      </c>
      <c r="G271" s="12" t="s">
        <v>276</v>
      </c>
      <c r="H271" s="13" t="s">
        <v>397</v>
      </c>
    </row>
    <row r="272" customFormat="false" ht="60" hidden="false" customHeight="true" outlineLevel="0" collapsed="false">
      <c r="A272" s="12" t="s">
        <v>164</v>
      </c>
      <c r="B272" s="12" t="s">
        <v>396</v>
      </c>
      <c r="C272" s="13" t="s">
        <v>393</v>
      </c>
      <c r="D272" s="13" t="s">
        <v>394</v>
      </c>
      <c r="E272" s="13" t="s">
        <v>398</v>
      </c>
      <c r="F272" s="12" t="s">
        <v>274</v>
      </c>
      <c r="G272" s="12" t="s">
        <v>276</v>
      </c>
      <c r="H272" s="13" t="s">
        <v>399</v>
      </c>
    </row>
    <row r="273" customFormat="false" ht="60" hidden="false" customHeight="true" outlineLevel="0" collapsed="false">
      <c r="A273" s="12" t="s">
        <v>164</v>
      </c>
      <c r="B273" s="12" t="s">
        <v>398</v>
      </c>
      <c r="C273" s="13" t="s">
        <v>390</v>
      </c>
      <c r="D273" s="13" t="s">
        <v>396</v>
      </c>
      <c r="E273" s="13" t="s">
        <v>400</v>
      </c>
      <c r="F273" s="12" t="s">
        <v>274</v>
      </c>
      <c r="G273" s="12" t="s">
        <v>276</v>
      </c>
      <c r="H273" s="13" t="s">
        <v>401</v>
      </c>
    </row>
    <row r="274" customFormat="false" ht="60" hidden="false" customHeight="true" outlineLevel="0" collapsed="false">
      <c r="A274" s="12" t="s">
        <v>164</v>
      </c>
      <c r="B274" s="12" t="s">
        <v>400</v>
      </c>
      <c r="C274" s="13" t="s">
        <v>402</v>
      </c>
      <c r="D274" s="13" t="s">
        <v>398</v>
      </c>
      <c r="E274" s="13" t="s">
        <v>403</v>
      </c>
      <c r="F274" s="12" t="s">
        <v>274</v>
      </c>
      <c r="G274" s="12" t="s">
        <v>276</v>
      </c>
      <c r="H274" s="13" t="s">
        <v>429</v>
      </c>
    </row>
    <row r="275" customFormat="false" ht="60" hidden="false" customHeight="true" outlineLevel="0" collapsed="false">
      <c r="A275" s="12" t="s">
        <v>164</v>
      </c>
      <c r="B275" s="12" t="s">
        <v>403</v>
      </c>
      <c r="C275" s="13" t="s">
        <v>373</v>
      </c>
      <c r="D275" s="13" t="s">
        <v>400</v>
      </c>
      <c r="E275" s="13" t="s">
        <v>310</v>
      </c>
      <c r="F275" s="12" t="s">
        <v>274</v>
      </c>
      <c r="G275" s="12" t="s">
        <v>276</v>
      </c>
      <c r="H275" s="13" t="s">
        <v>405</v>
      </c>
    </row>
    <row r="276" customFormat="false" ht="60" hidden="false" customHeight="true" outlineLevel="0" collapsed="false">
      <c r="A276" s="12" t="s">
        <v>164</v>
      </c>
      <c r="B276" s="12" t="s">
        <v>406</v>
      </c>
      <c r="C276" s="13" t="s">
        <v>407</v>
      </c>
      <c r="D276" s="13" t="s">
        <v>408</v>
      </c>
      <c r="E276" s="13" t="s">
        <v>409</v>
      </c>
      <c r="F276" s="12" t="s">
        <v>274</v>
      </c>
      <c r="G276" s="12" t="s">
        <v>410</v>
      </c>
      <c r="H276" s="13" t="s">
        <v>411</v>
      </c>
    </row>
    <row r="277" customFormat="false" ht="60" hidden="false" customHeight="true" outlineLevel="0" collapsed="false">
      <c r="A277" s="12" t="s">
        <v>164</v>
      </c>
      <c r="B277" s="12" t="s">
        <v>409</v>
      </c>
      <c r="C277" s="13" t="s">
        <v>412</v>
      </c>
      <c r="D277" s="13" t="s">
        <v>406</v>
      </c>
      <c r="E277" s="13" t="s">
        <v>310</v>
      </c>
      <c r="F277" s="12" t="s">
        <v>274</v>
      </c>
      <c r="G277" s="12" t="s">
        <v>371</v>
      </c>
      <c r="H277" s="13" t="s">
        <v>413</v>
      </c>
    </row>
    <row r="278" customFormat="false" ht="60" hidden="false" customHeight="true" outlineLevel="0" collapsed="false">
      <c r="A278" s="12" t="s">
        <v>164</v>
      </c>
      <c r="B278" s="12" t="s">
        <v>310</v>
      </c>
      <c r="C278" s="13" t="s">
        <v>273</v>
      </c>
      <c r="D278" s="13" t="s">
        <v>414</v>
      </c>
      <c r="E278" s="13" t="s">
        <v>274</v>
      </c>
      <c r="F278" s="12" t="s">
        <v>274</v>
      </c>
      <c r="G278" s="12" t="s">
        <v>302</v>
      </c>
      <c r="H278" s="13" t="s">
        <v>315</v>
      </c>
    </row>
    <row r="279" customFormat="false" ht="60" hidden="false" customHeight="true" outlineLevel="0" collapsed="false">
      <c r="A279" s="12" t="s">
        <v>167</v>
      </c>
      <c r="B279" s="12" t="s">
        <v>272</v>
      </c>
      <c r="C279" s="13" t="s">
        <v>273</v>
      </c>
      <c r="D279" s="13" t="s">
        <v>274</v>
      </c>
      <c r="E279" s="13" t="s">
        <v>430</v>
      </c>
      <c r="F279" s="12" t="s">
        <v>274</v>
      </c>
      <c r="G279" s="12" t="s">
        <v>276</v>
      </c>
      <c r="H279" s="13" t="s">
        <v>277</v>
      </c>
    </row>
    <row r="280" customFormat="false" ht="60" hidden="false" customHeight="true" outlineLevel="0" collapsed="false">
      <c r="A280" s="12" t="s">
        <v>167</v>
      </c>
      <c r="B280" s="12" t="s">
        <v>430</v>
      </c>
      <c r="C280" s="13" t="s">
        <v>359</v>
      </c>
      <c r="D280" s="13" t="s">
        <v>272</v>
      </c>
      <c r="E280" s="13" t="s">
        <v>388</v>
      </c>
      <c r="F280" s="12" t="s">
        <v>274</v>
      </c>
      <c r="G280" s="12" t="s">
        <v>276</v>
      </c>
      <c r="H280" s="13" t="s">
        <v>431</v>
      </c>
    </row>
    <row r="281" customFormat="false" ht="60" hidden="false" customHeight="true" outlineLevel="0" collapsed="false">
      <c r="A281" s="12" t="s">
        <v>167</v>
      </c>
      <c r="B281" s="12" t="s">
        <v>388</v>
      </c>
      <c r="C281" s="13" t="s">
        <v>390</v>
      </c>
      <c r="D281" s="13" t="s">
        <v>430</v>
      </c>
      <c r="E281" s="13" t="s">
        <v>391</v>
      </c>
      <c r="F281" s="12" t="s">
        <v>274</v>
      </c>
      <c r="G281" s="12" t="s">
        <v>276</v>
      </c>
      <c r="H281" s="13" t="s">
        <v>392</v>
      </c>
    </row>
    <row r="282" customFormat="false" ht="60" hidden="false" customHeight="true" outlineLevel="0" collapsed="false">
      <c r="A282" s="12" t="s">
        <v>167</v>
      </c>
      <c r="B282" s="12" t="s">
        <v>391</v>
      </c>
      <c r="C282" s="13" t="s">
        <v>393</v>
      </c>
      <c r="D282" s="13" t="s">
        <v>388</v>
      </c>
      <c r="E282" s="13" t="s">
        <v>394</v>
      </c>
      <c r="F282" s="12" t="s">
        <v>274</v>
      </c>
      <c r="G282" s="12" t="s">
        <v>276</v>
      </c>
      <c r="H282" s="13" t="s">
        <v>395</v>
      </c>
    </row>
    <row r="283" customFormat="false" ht="60" hidden="false" customHeight="true" outlineLevel="0" collapsed="false">
      <c r="A283" s="12" t="s">
        <v>167</v>
      </c>
      <c r="B283" s="12" t="s">
        <v>394</v>
      </c>
      <c r="C283" s="13" t="s">
        <v>390</v>
      </c>
      <c r="D283" s="13" t="s">
        <v>391</v>
      </c>
      <c r="E283" s="13" t="s">
        <v>396</v>
      </c>
      <c r="F283" s="12" t="s">
        <v>274</v>
      </c>
      <c r="G283" s="12" t="s">
        <v>276</v>
      </c>
      <c r="H283" s="13" t="s">
        <v>397</v>
      </c>
    </row>
    <row r="284" customFormat="false" ht="60" hidden="false" customHeight="true" outlineLevel="0" collapsed="false">
      <c r="A284" s="12" t="s">
        <v>167</v>
      </c>
      <c r="B284" s="12" t="s">
        <v>396</v>
      </c>
      <c r="C284" s="13" t="s">
        <v>393</v>
      </c>
      <c r="D284" s="13" t="s">
        <v>394</v>
      </c>
      <c r="E284" s="13" t="s">
        <v>398</v>
      </c>
      <c r="F284" s="12" t="s">
        <v>274</v>
      </c>
      <c r="G284" s="12" t="s">
        <v>276</v>
      </c>
      <c r="H284" s="13" t="s">
        <v>399</v>
      </c>
    </row>
    <row r="285" customFormat="false" ht="60" hidden="false" customHeight="true" outlineLevel="0" collapsed="false">
      <c r="A285" s="12" t="s">
        <v>167</v>
      </c>
      <c r="B285" s="12" t="s">
        <v>398</v>
      </c>
      <c r="C285" s="13" t="s">
        <v>390</v>
      </c>
      <c r="D285" s="13" t="s">
        <v>396</v>
      </c>
      <c r="E285" s="13" t="s">
        <v>400</v>
      </c>
      <c r="F285" s="12" t="s">
        <v>274</v>
      </c>
      <c r="G285" s="12" t="s">
        <v>276</v>
      </c>
      <c r="H285" s="13" t="s">
        <v>401</v>
      </c>
    </row>
    <row r="286" customFormat="false" ht="60" hidden="false" customHeight="true" outlineLevel="0" collapsed="false">
      <c r="A286" s="12" t="s">
        <v>167</v>
      </c>
      <c r="B286" s="12" t="s">
        <v>400</v>
      </c>
      <c r="C286" s="13" t="s">
        <v>402</v>
      </c>
      <c r="D286" s="13" t="s">
        <v>398</v>
      </c>
      <c r="E286" s="13" t="s">
        <v>403</v>
      </c>
      <c r="F286" s="12" t="s">
        <v>274</v>
      </c>
      <c r="G286" s="12" t="s">
        <v>276</v>
      </c>
      <c r="H286" s="13" t="s">
        <v>432</v>
      </c>
    </row>
    <row r="287" customFormat="false" ht="60" hidden="false" customHeight="true" outlineLevel="0" collapsed="false">
      <c r="A287" s="12" t="s">
        <v>167</v>
      </c>
      <c r="B287" s="12" t="s">
        <v>403</v>
      </c>
      <c r="C287" s="13" t="s">
        <v>373</v>
      </c>
      <c r="D287" s="13" t="s">
        <v>400</v>
      </c>
      <c r="E287" s="13" t="s">
        <v>310</v>
      </c>
      <c r="F287" s="12" t="s">
        <v>274</v>
      </c>
      <c r="G287" s="12" t="s">
        <v>276</v>
      </c>
      <c r="H287" s="13" t="s">
        <v>405</v>
      </c>
    </row>
    <row r="288" customFormat="false" ht="60" hidden="false" customHeight="true" outlineLevel="0" collapsed="false">
      <c r="A288" s="12" t="s">
        <v>167</v>
      </c>
      <c r="B288" s="12" t="s">
        <v>406</v>
      </c>
      <c r="C288" s="13" t="s">
        <v>407</v>
      </c>
      <c r="D288" s="13" t="s">
        <v>408</v>
      </c>
      <c r="E288" s="13" t="s">
        <v>409</v>
      </c>
      <c r="F288" s="12" t="s">
        <v>274</v>
      </c>
      <c r="G288" s="12" t="s">
        <v>410</v>
      </c>
      <c r="H288" s="13" t="s">
        <v>411</v>
      </c>
    </row>
    <row r="289" customFormat="false" ht="60" hidden="false" customHeight="true" outlineLevel="0" collapsed="false">
      <c r="A289" s="12" t="s">
        <v>167</v>
      </c>
      <c r="B289" s="12" t="s">
        <v>409</v>
      </c>
      <c r="C289" s="13" t="s">
        <v>412</v>
      </c>
      <c r="D289" s="13" t="s">
        <v>406</v>
      </c>
      <c r="E289" s="13" t="s">
        <v>310</v>
      </c>
      <c r="F289" s="12" t="s">
        <v>274</v>
      </c>
      <c r="G289" s="12" t="s">
        <v>371</v>
      </c>
      <c r="H289" s="13" t="s">
        <v>413</v>
      </c>
    </row>
    <row r="290" customFormat="false" ht="60" hidden="false" customHeight="true" outlineLevel="0" collapsed="false">
      <c r="A290" s="12" t="s">
        <v>167</v>
      </c>
      <c r="B290" s="12" t="s">
        <v>310</v>
      </c>
      <c r="C290" s="13" t="s">
        <v>273</v>
      </c>
      <c r="D290" s="13" t="s">
        <v>414</v>
      </c>
      <c r="E290" s="13" t="s">
        <v>274</v>
      </c>
      <c r="F290" s="12" t="s">
        <v>274</v>
      </c>
      <c r="G290" s="12" t="s">
        <v>302</v>
      </c>
      <c r="H290" s="13" t="s">
        <v>315</v>
      </c>
    </row>
    <row r="291" customFormat="false" ht="60" hidden="false" customHeight="true" outlineLevel="0" collapsed="false">
      <c r="A291" s="12" t="s">
        <v>171</v>
      </c>
      <c r="B291" s="12" t="s">
        <v>272</v>
      </c>
      <c r="C291" s="13" t="s">
        <v>273</v>
      </c>
      <c r="D291" s="13" t="s">
        <v>274</v>
      </c>
      <c r="E291" s="13" t="s">
        <v>433</v>
      </c>
      <c r="F291" s="12" t="s">
        <v>274</v>
      </c>
      <c r="G291" s="12" t="s">
        <v>276</v>
      </c>
      <c r="H291" s="13" t="s">
        <v>277</v>
      </c>
    </row>
    <row r="292" customFormat="false" ht="60" hidden="false" customHeight="true" outlineLevel="0" collapsed="false">
      <c r="A292" s="12" t="s">
        <v>171</v>
      </c>
      <c r="B292" s="12" t="s">
        <v>433</v>
      </c>
      <c r="C292" s="13" t="s">
        <v>434</v>
      </c>
      <c r="D292" s="13" t="s">
        <v>272</v>
      </c>
      <c r="E292" s="13" t="s">
        <v>435</v>
      </c>
      <c r="F292" s="12" t="s">
        <v>274</v>
      </c>
      <c r="G292" s="12" t="s">
        <v>276</v>
      </c>
      <c r="H292" s="13" t="s">
        <v>436</v>
      </c>
    </row>
    <row r="293" customFormat="false" ht="60" hidden="false" customHeight="true" outlineLevel="0" collapsed="false">
      <c r="A293" s="12" t="s">
        <v>171</v>
      </c>
      <c r="B293" s="12" t="s">
        <v>435</v>
      </c>
      <c r="C293" s="13" t="s">
        <v>437</v>
      </c>
      <c r="D293" s="13" t="s">
        <v>433</v>
      </c>
      <c r="E293" s="13" t="s">
        <v>438</v>
      </c>
      <c r="F293" s="12" t="s">
        <v>274</v>
      </c>
      <c r="G293" s="12" t="s">
        <v>276</v>
      </c>
      <c r="H293" s="13" t="s">
        <v>439</v>
      </c>
    </row>
    <row r="294" customFormat="false" ht="60" hidden="false" customHeight="true" outlineLevel="0" collapsed="false">
      <c r="A294" s="12" t="s">
        <v>171</v>
      </c>
      <c r="B294" s="12" t="s">
        <v>438</v>
      </c>
      <c r="C294" s="13" t="s">
        <v>281</v>
      </c>
      <c r="D294" s="13" t="s">
        <v>435</v>
      </c>
      <c r="E294" s="13" t="s">
        <v>440</v>
      </c>
      <c r="F294" s="12" t="s">
        <v>274</v>
      </c>
      <c r="G294" s="12" t="s">
        <v>371</v>
      </c>
      <c r="H294" s="13" t="s">
        <v>441</v>
      </c>
    </row>
    <row r="295" customFormat="false" ht="60" hidden="false" customHeight="true" outlineLevel="0" collapsed="false">
      <c r="A295" s="12" t="s">
        <v>171</v>
      </c>
      <c r="B295" s="12" t="s">
        <v>442</v>
      </c>
      <c r="C295" s="13" t="s">
        <v>273</v>
      </c>
      <c r="D295" s="13" t="s">
        <v>438</v>
      </c>
      <c r="E295" s="13" t="s">
        <v>443</v>
      </c>
      <c r="F295" s="12" t="s">
        <v>274</v>
      </c>
      <c r="G295" s="12" t="s">
        <v>276</v>
      </c>
      <c r="H295" s="13" t="s">
        <v>444</v>
      </c>
    </row>
    <row r="296" customFormat="false" ht="60" hidden="false" customHeight="true" outlineLevel="0" collapsed="false">
      <c r="A296" s="12" t="s">
        <v>171</v>
      </c>
      <c r="B296" s="12" t="s">
        <v>445</v>
      </c>
      <c r="C296" s="13" t="s">
        <v>446</v>
      </c>
      <c r="D296" s="13" t="s">
        <v>438</v>
      </c>
      <c r="E296" s="13" t="s">
        <v>447</v>
      </c>
      <c r="F296" s="12" t="s">
        <v>274</v>
      </c>
      <c r="G296" s="12" t="s">
        <v>276</v>
      </c>
      <c r="H296" s="13" t="s">
        <v>448</v>
      </c>
    </row>
    <row r="297" customFormat="false" ht="60" hidden="false" customHeight="true" outlineLevel="0" collapsed="false">
      <c r="A297" s="12" t="s">
        <v>171</v>
      </c>
      <c r="B297" s="12" t="s">
        <v>447</v>
      </c>
      <c r="C297" s="13" t="s">
        <v>449</v>
      </c>
      <c r="D297" s="13" t="s">
        <v>445</v>
      </c>
      <c r="E297" s="13" t="s">
        <v>450</v>
      </c>
      <c r="F297" s="12" t="s">
        <v>274</v>
      </c>
      <c r="G297" s="12" t="s">
        <v>276</v>
      </c>
      <c r="H297" s="13" t="s">
        <v>451</v>
      </c>
    </row>
    <row r="298" customFormat="false" ht="60" hidden="false" customHeight="true" outlineLevel="0" collapsed="false">
      <c r="A298" s="12" t="s">
        <v>171</v>
      </c>
      <c r="B298" s="12" t="s">
        <v>443</v>
      </c>
      <c r="C298" s="13" t="s">
        <v>452</v>
      </c>
      <c r="D298" s="13" t="s">
        <v>442</v>
      </c>
      <c r="E298" s="13" t="s">
        <v>400</v>
      </c>
      <c r="F298" s="12" t="s">
        <v>274</v>
      </c>
      <c r="G298" s="12" t="s">
        <v>276</v>
      </c>
      <c r="H298" s="13" t="s">
        <v>453</v>
      </c>
    </row>
    <row r="299" customFormat="false" ht="60" hidden="false" customHeight="true" outlineLevel="0" collapsed="false">
      <c r="A299" s="12" t="s">
        <v>171</v>
      </c>
      <c r="B299" s="12" t="s">
        <v>400</v>
      </c>
      <c r="C299" s="13" t="s">
        <v>402</v>
      </c>
      <c r="D299" s="13" t="s">
        <v>443</v>
      </c>
      <c r="E299" s="13" t="s">
        <v>454</v>
      </c>
      <c r="F299" s="12" t="s">
        <v>274</v>
      </c>
      <c r="G299" s="12" t="s">
        <v>276</v>
      </c>
      <c r="H299" s="13" t="s">
        <v>455</v>
      </c>
    </row>
    <row r="300" customFormat="false" ht="60" hidden="false" customHeight="true" outlineLevel="0" collapsed="false">
      <c r="A300" s="12" t="s">
        <v>171</v>
      </c>
      <c r="B300" s="12" t="s">
        <v>450</v>
      </c>
      <c r="C300" s="13" t="s">
        <v>456</v>
      </c>
      <c r="D300" s="13" t="s">
        <v>447</v>
      </c>
      <c r="E300" s="13" t="s">
        <v>454</v>
      </c>
      <c r="F300" s="12" t="s">
        <v>274</v>
      </c>
      <c r="G300" s="12" t="s">
        <v>276</v>
      </c>
      <c r="H300" s="13" t="s">
        <v>457</v>
      </c>
    </row>
    <row r="301" customFormat="false" ht="60" hidden="false" customHeight="true" outlineLevel="0" collapsed="false">
      <c r="A301" s="12" t="s">
        <v>171</v>
      </c>
      <c r="B301" s="12" t="s">
        <v>454</v>
      </c>
      <c r="C301" s="13" t="s">
        <v>299</v>
      </c>
      <c r="D301" s="13" t="s">
        <v>458</v>
      </c>
      <c r="E301" s="13" t="s">
        <v>310</v>
      </c>
      <c r="F301" s="12" t="s">
        <v>274</v>
      </c>
      <c r="G301" s="12" t="s">
        <v>302</v>
      </c>
      <c r="H301" s="13" t="s">
        <v>459</v>
      </c>
    </row>
    <row r="302" customFormat="false" ht="60" hidden="false" customHeight="true" outlineLevel="0" collapsed="false">
      <c r="A302" s="12" t="s">
        <v>171</v>
      </c>
      <c r="B302" s="12" t="s">
        <v>310</v>
      </c>
      <c r="C302" s="13" t="s">
        <v>273</v>
      </c>
      <c r="D302" s="13" t="s">
        <v>454</v>
      </c>
      <c r="E302" s="13" t="s">
        <v>274</v>
      </c>
      <c r="F302" s="12" t="s">
        <v>274</v>
      </c>
      <c r="G302" s="12" t="s">
        <v>371</v>
      </c>
      <c r="H302" s="13" t="s">
        <v>315</v>
      </c>
    </row>
    <row r="303" customFormat="false" ht="60" hidden="false" customHeight="true" outlineLevel="0" collapsed="false">
      <c r="A303" s="12" t="s">
        <v>173</v>
      </c>
      <c r="B303" s="12" t="s">
        <v>272</v>
      </c>
      <c r="C303" s="13" t="s">
        <v>273</v>
      </c>
      <c r="D303" s="13" t="s">
        <v>274</v>
      </c>
      <c r="E303" s="13" t="s">
        <v>433</v>
      </c>
      <c r="F303" s="12" t="s">
        <v>274</v>
      </c>
      <c r="G303" s="12" t="s">
        <v>276</v>
      </c>
      <c r="H303" s="13" t="s">
        <v>277</v>
      </c>
    </row>
    <row r="304" customFormat="false" ht="60" hidden="false" customHeight="true" outlineLevel="0" collapsed="false">
      <c r="A304" s="12" t="s">
        <v>173</v>
      </c>
      <c r="B304" s="12" t="s">
        <v>433</v>
      </c>
      <c r="C304" s="13" t="s">
        <v>434</v>
      </c>
      <c r="D304" s="13" t="s">
        <v>272</v>
      </c>
      <c r="E304" s="13" t="s">
        <v>435</v>
      </c>
      <c r="F304" s="12" t="s">
        <v>274</v>
      </c>
      <c r="G304" s="12" t="s">
        <v>276</v>
      </c>
      <c r="H304" s="13" t="s">
        <v>436</v>
      </c>
    </row>
    <row r="305" customFormat="false" ht="60" hidden="false" customHeight="true" outlineLevel="0" collapsed="false">
      <c r="A305" s="12" t="s">
        <v>173</v>
      </c>
      <c r="B305" s="12" t="s">
        <v>435</v>
      </c>
      <c r="C305" s="13" t="s">
        <v>437</v>
      </c>
      <c r="D305" s="13" t="s">
        <v>433</v>
      </c>
      <c r="E305" s="13" t="s">
        <v>438</v>
      </c>
      <c r="F305" s="12" t="s">
        <v>274</v>
      </c>
      <c r="G305" s="12" t="s">
        <v>276</v>
      </c>
      <c r="H305" s="13" t="s">
        <v>460</v>
      </c>
    </row>
    <row r="306" customFormat="false" ht="60" hidden="false" customHeight="true" outlineLevel="0" collapsed="false">
      <c r="A306" s="12" t="s">
        <v>173</v>
      </c>
      <c r="B306" s="12" t="s">
        <v>438</v>
      </c>
      <c r="C306" s="13" t="s">
        <v>281</v>
      </c>
      <c r="D306" s="13" t="s">
        <v>435</v>
      </c>
      <c r="E306" s="13" t="s">
        <v>440</v>
      </c>
      <c r="F306" s="12" t="s">
        <v>274</v>
      </c>
      <c r="G306" s="12" t="s">
        <v>371</v>
      </c>
      <c r="H306" s="13" t="s">
        <v>441</v>
      </c>
    </row>
    <row r="307" customFormat="false" ht="60" hidden="false" customHeight="true" outlineLevel="0" collapsed="false">
      <c r="A307" s="12" t="s">
        <v>173</v>
      </c>
      <c r="B307" s="12" t="s">
        <v>442</v>
      </c>
      <c r="C307" s="13" t="s">
        <v>273</v>
      </c>
      <c r="D307" s="13" t="s">
        <v>438</v>
      </c>
      <c r="E307" s="13" t="s">
        <v>443</v>
      </c>
      <c r="F307" s="12" t="s">
        <v>274</v>
      </c>
      <c r="G307" s="12" t="s">
        <v>276</v>
      </c>
      <c r="H307" s="13" t="s">
        <v>444</v>
      </c>
    </row>
    <row r="308" customFormat="false" ht="60" hidden="false" customHeight="true" outlineLevel="0" collapsed="false">
      <c r="A308" s="12" t="s">
        <v>173</v>
      </c>
      <c r="B308" s="12" t="s">
        <v>445</v>
      </c>
      <c r="C308" s="13" t="s">
        <v>446</v>
      </c>
      <c r="D308" s="13" t="s">
        <v>438</v>
      </c>
      <c r="E308" s="13" t="s">
        <v>447</v>
      </c>
      <c r="F308" s="12" t="s">
        <v>274</v>
      </c>
      <c r="G308" s="12" t="s">
        <v>276</v>
      </c>
      <c r="H308" s="13" t="s">
        <v>448</v>
      </c>
    </row>
    <row r="309" customFormat="false" ht="60" hidden="false" customHeight="true" outlineLevel="0" collapsed="false">
      <c r="A309" s="12" t="s">
        <v>173</v>
      </c>
      <c r="B309" s="12" t="s">
        <v>447</v>
      </c>
      <c r="C309" s="13" t="s">
        <v>449</v>
      </c>
      <c r="D309" s="13" t="s">
        <v>445</v>
      </c>
      <c r="E309" s="13" t="s">
        <v>450</v>
      </c>
      <c r="F309" s="12" t="s">
        <v>274</v>
      </c>
      <c r="G309" s="12" t="s">
        <v>276</v>
      </c>
      <c r="H309" s="13" t="s">
        <v>451</v>
      </c>
    </row>
    <row r="310" customFormat="false" ht="60" hidden="false" customHeight="true" outlineLevel="0" collapsed="false">
      <c r="A310" s="12" t="s">
        <v>173</v>
      </c>
      <c r="B310" s="12" t="s">
        <v>443</v>
      </c>
      <c r="C310" s="13" t="s">
        <v>452</v>
      </c>
      <c r="D310" s="13" t="s">
        <v>442</v>
      </c>
      <c r="E310" s="13" t="s">
        <v>400</v>
      </c>
      <c r="F310" s="12" t="s">
        <v>274</v>
      </c>
      <c r="G310" s="12" t="s">
        <v>276</v>
      </c>
      <c r="H310" s="13" t="s">
        <v>453</v>
      </c>
    </row>
    <row r="311" customFormat="false" ht="60" hidden="false" customHeight="true" outlineLevel="0" collapsed="false">
      <c r="A311" s="12" t="s">
        <v>173</v>
      </c>
      <c r="B311" s="12" t="s">
        <v>400</v>
      </c>
      <c r="C311" s="13" t="s">
        <v>402</v>
      </c>
      <c r="D311" s="13" t="s">
        <v>443</v>
      </c>
      <c r="E311" s="13" t="s">
        <v>454</v>
      </c>
      <c r="F311" s="12" t="s">
        <v>274</v>
      </c>
      <c r="G311" s="12" t="s">
        <v>276</v>
      </c>
      <c r="H311" s="13" t="s">
        <v>461</v>
      </c>
    </row>
    <row r="312" customFormat="false" ht="60" hidden="false" customHeight="true" outlineLevel="0" collapsed="false">
      <c r="A312" s="12" t="s">
        <v>173</v>
      </c>
      <c r="B312" s="12" t="s">
        <v>450</v>
      </c>
      <c r="C312" s="13" t="s">
        <v>456</v>
      </c>
      <c r="D312" s="13" t="s">
        <v>447</v>
      </c>
      <c r="E312" s="13" t="s">
        <v>454</v>
      </c>
      <c r="F312" s="12" t="s">
        <v>274</v>
      </c>
      <c r="G312" s="12" t="s">
        <v>276</v>
      </c>
      <c r="H312" s="13" t="s">
        <v>457</v>
      </c>
    </row>
    <row r="313" customFormat="false" ht="60" hidden="false" customHeight="true" outlineLevel="0" collapsed="false">
      <c r="A313" s="12" t="s">
        <v>173</v>
      </c>
      <c r="B313" s="12" t="s">
        <v>454</v>
      </c>
      <c r="C313" s="13" t="s">
        <v>299</v>
      </c>
      <c r="D313" s="13" t="s">
        <v>458</v>
      </c>
      <c r="E313" s="13" t="s">
        <v>310</v>
      </c>
      <c r="F313" s="12" t="s">
        <v>274</v>
      </c>
      <c r="G313" s="12" t="s">
        <v>302</v>
      </c>
      <c r="H313" s="13" t="s">
        <v>459</v>
      </c>
    </row>
    <row r="314" customFormat="false" ht="60" hidden="false" customHeight="true" outlineLevel="0" collapsed="false">
      <c r="A314" s="12" t="s">
        <v>173</v>
      </c>
      <c r="B314" s="12" t="s">
        <v>310</v>
      </c>
      <c r="C314" s="13" t="s">
        <v>273</v>
      </c>
      <c r="D314" s="13" t="s">
        <v>454</v>
      </c>
      <c r="E314" s="13" t="s">
        <v>274</v>
      </c>
      <c r="F314" s="12" t="s">
        <v>274</v>
      </c>
      <c r="G314" s="12" t="s">
        <v>371</v>
      </c>
      <c r="H314" s="13" t="s">
        <v>315</v>
      </c>
    </row>
    <row r="315" customFormat="false" ht="60" hidden="false" customHeight="true" outlineLevel="0" collapsed="false">
      <c r="A315" s="12" t="s">
        <v>176</v>
      </c>
      <c r="B315" s="12" t="s">
        <v>272</v>
      </c>
      <c r="C315" s="13" t="s">
        <v>273</v>
      </c>
      <c r="D315" s="13" t="s">
        <v>274</v>
      </c>
      <c r="E315" s="13" t="s">
        <v>433</v>
      </c>
      <c r="F315" s="12" t="s">
        <v>274</v>
      </c>
      <c r="G315" s="12" t="s">
        <v>276</v>
      </c>
      <c r="H315" s="13" t="s">
        <v>277</v>
      </c>
    </row>
    <row r="316" customFormat="false" ht="60" hidden="false" customHeight="true" outlineLevel="0" collapsed="false">
      <c r="A316" s="12" t="s">
        <v>176</v>
      </c>
      <c r="B316" s="12" t="s">
        <v>433</v>
      </c>
      <c r="C316" s="13" t="s">
        <v>434</v>
      </c>
      <c r="D316" s="13" t="s">
        <v>272</v>
      </c>
      <c r="E316" s="13" t="s">
        <v>435</v>
      </c>
      <c r="F316" s="12" t="s">
        <v>274</v>
      </c>
      <c r="G316" s="12" t="s">
        <v>276</v>
      </c>
      <c r="H316" s="13" t="s">
        <v>436</v>
      </c>
    </row>
    <row r="317" customFormat="false" ht="60" hidden="false" customHeight="true" outlineLevel="0" collapsed="false">
      <c r="A317" s="12" t="s">
        <v>176</v>
      </c>
      <c r="B317" s="12" t="s">
        <v>435</v>
      </c>
      <c r="C317" s="13" t="s">
        <v>437</v>
      </c>
      <c r="D317" s="13" t="s">
        <v>433</v>
      </c>
      <c r="E317" s="13" t="s">
        <v>438</v>
      </c>
      <c r="F317" s="12" t="s">
        <v>274</v>
      </c>
      <c r="G317" s="12" t="s">
        <v>276</v>
      </c>
      <c r="H317" s="13" t="s">
        <v>462</v>
      </c>
    </row>
    <row r="318" customFormat="false" ht="60" hidden="false" customHeight="true" outlineLevel="0" collapsed="false">
      <c r="A318" s="12" t="s">
        <v>176</v>
      </c>
      <c r="B318" s="12" t="s">
        <v>438</v>
      </c>
      <c r="C318" s="13" t="s">
        <v>281</v>
      </c>
      <c r="D318" s="13" t="s">
        <v>435</v>
      </c>
      <c r="E318" s="13" t="s">
        <v>440</v>
      </c>
      <c r="F318" s="12" t="s">
        <v>274</v>
      </c>
      <c r="G318" s="12" t="s">
        <v>371</v>
      </c>
      <c r="H318" s="13" t="s">
        <v>441</v>
      </c>
    </row>
    <row r="319" customFormat="false" ht="60" hidden="false" customHeight="true" outlineLevel="0" collapsed="false">
      <c r="A319" s="12" t="s">
        <v>176</v>
      </c>
      <c r="B319" s="12" t="s">
        <v>442</v>
      </c>
      <c r="C319" s="13" t="s">
        <v>273</v>
      </c>
      <c r="D319" s="13" t="s">
        <v>438</v>
      </c>
      <c r="E319" s="13" t="s">
        <v>443</v>
      </c>
      <c r="F319" s="12" t="s">
        <v>274</v>
      </c>
      <c r="G319" s="12" t="s">
        <v>276</v>
      </c>
      <c r="H319" s="13" t="s">
        <v>444</v>
      </c>
    </row>
    <row r="320" customFormat="false" ht="60" hidden="false" customHeight="true" outlineLevel="0" collapsed="false">
      <c r="A320" s="12" t="s">
        <v>176</v>
      </c>
      <c r="B320" s="12" t="s">
        <v>445</v>
      </c>
      <c r="C320" s="13" t="s">
        <v>446</v>
      </c>
      <c r="D320" s="13" t="s">
        <v>438</v>
      </c>
      <c r="E320" s="13" t="s">
        <v>447</v>
      </c>
      <c r="F320" s="12" t="s">
        <v>274</v>
      </c>
      <c r="G320" s="12" t="s">
        <v>276</v>
      </c>
      <c r="H320" s="13" t="s">
        <v>448</v>
      </c>
    </row>
    <row r="321" customFormat="false" ht="60" hidden="false" customHeight="true" outlineLevel="0" collapsed="false">
      <c r="A321" s="12" t="s">
        <v>176</v>
      </c>
      <c r="B321" s="12" t="s">
        <v>447</v>
      </c>
      <c r="C321" s="13" t="s">
        <v>449</v>
      </c>
      <c r="D321" s="13" t="s">
        <v>445</v>
      </c>
      <c r="E321" s="13" t="s">
        <v>450</v>
      </c>
      <c r="F321" s="12" t="s">
        <v>274</v>
      </c>
      <c r="G321" s="12" t="s">
        <v>276</v>
      </c>
      <c r="H321" s="13" t="s">
        <v>451</v>
      </c>
    </row>
    <row r="322" customFormat="false" ht="60" hidden="false" customHeight="true" outlineLevel="0" collapsed="false">
      <c r="A322" s="12" t="s">
        <v>176</v>
      </c>
      <c r="B322" s="12" t="s">
        <v>443</v>
      </c>
      <c r="C322" s="13" t="s">
        <v>452</v>
      </c>
      <c r="D322" s="13" t="s">
        <v>442</v>
      </c>
      <c r="E322" s="13" t="s">
        <v>400</v>
      </c>
      <c r="F322" s="12" t="s">
        <v>274</v>
      </c>
      <c r="G322" s="12" t="s">
        <v>276</v>
      </c>
      <c r="H322" s="13" t="s">
        <v>453</v>
      </c>
    </row>
    <row r="323" customFormat="false" ht="60" hidden="false" customHeight="true" outlineLevel="0" collapsed="false">
      <c r="A323" s="12" t="s">
        <v>176</v>
      </c>
      <c r="B323" s="12" t="s">
        <v>400</v>
      </c>
      <c r="C323" s="13" t="s">
        <v>402</v>
      </c>
      <c r="D323" s="13" t="s">
        <v>443</v>
      </c>
      <c r="E323" s="13" t="s">
        <v>454</v>
      </c>
      <c r="F323" s="12" t="s">
        <v>274</v>
      </c>
      <c r="G323" s="12" t="s">
        <v>276</v>
      </c>
      <c r="H323" s="13" t="s">
        <v>463</v>
      </c>
    </row>
    <row r="324" customFormat="false" ht="60" hidden="false" customHeight="true" outlineLevel="0" collapsed="false">
      <c r="A324" s="12" t="s">
        <v>176</v>
      </c>
      <c r="B324" s="12" t="s">
        <v>450</v>
      </c>
      <c r="C324" s="13" t="s">
        <v>456</v>
      </c>
      <c r="D324" s="13" t="s">
        <v>447</v>
      </c>
      <c r="E324" s="13" t="s">
        <v>454</v>
      </c>
      <c r="F324" s="12" t="s">
        <v>274</v>
      </c>
      <c r="G324" s="12" t="s">
        <v>276</v>
      </c>
      <c r="H324" s="13" t="s">
        <v>457</v>
      </c>
    </row>
    <row r="325" customFormat="false" ht="60" hidden="false" customHeight="true" outlineLevel="0" collapsed="false">
      <c r="A325" s="12" t="s">
        <v>176</v>
      </c>
      <c r="B325" s="12" t="s">
        <v>454</v>
      </c>
      <c r="C325" s="13" t="s">
        <v>299</v>
      </c>
      <c r="D325" s="13" t="s">
        <v>458</v>
      </c>
      <c r="E325" s="13" t="s">
        <v>310</v>
      </c>
      <c r="F325" s="12" t="s">
        <v>274</v>
      </c>
      <c r="G325" s="12" t="s">
        <v>302</v>
      </c>
      <c r="H325" s="13" t="s">
        <v>459</v>
      </c>
    </row>
    <row r="326" customFormat="false" ht="60" hidden="false" customHeight="true" outlineLevel="0" collapsed="false">
      <c r="A326" s="12" t="s">
        <v>176</v>
      </c>
      <c r="B326" s="12" t="s">
        <v>310</v>
      </c>
      <c r="C326" s="13" t="s">
        <v>273</v>
      </c>
      <c r="D326" s="13" t="s">
        <v>454</v>
      </c>
      <c r="E326" s="13" t="s">
        <v>274</v>
      </c>
      <c r="F326" s="12" t="s">
        <v>274</v>
      </c>
      <c r="G326" s="12" t="s">
        <v>371</v>
      </c>
      <c r="H326" s="13" t="s">
        <v>315</v>
      </c>
    </row>
    <row r="327" customFormat="false" ht="60" hidden="false" customHeight="true" outlineLevel="0" collapsed="false">
      <c r="A327" s="12" t="s">
        <v>179</v>
      </c>
      <c r="B327" s="12" t="s">
        <v>272</v>
      </c>
      <c r="C327" s="13" t="s">
        <v>273</v>
      </c>
      <c r="D327" s="13" t="s">
        <v>274</v>
      </c>
      <c r="E327" s="13" t="s">
        <v>433</v>
      </c>
      <c r="F327" s="12" t="s">
        <v>274</v>
      </c>
      <c r="G327" s="12" t="s">
        <v>276</v>
      </c>
      <c r="H327" s="13" t="s">
        <v>277</v>
      </c>
    </row>
    <row r="328" customFormat="false" ht="60" hidden="false" customHeight="true" outlineLevel="0" collapsed="false">
      <c r="A328" s="12" t="s">
        <v>179</v>
      </c>
      <c r="B328" s="12" t="s">
        <v>433</v>
      </c>
      <c r="C328" s="13" t="s">
        <v>434</v>
      </c>
      <c r="D328" s="13" t="s">
        <v>272</v>
      </c>
      <c r="E328" s="13" t="s">
        <v>435</v>
      </c>
      <c r="F328" s="12" t="s">
        <v>274</v>
      </c>
      <c r="G328" s="12" t="s">
        <v>276</v>
      </c>
      <c r="H328" s="13" t="s">
        <v>436</v>
      </c>
    </row>
    <row r="329" customFormat="false" ht="60" hidden="false" customHeight="true" outlineLevel="0" collapsed="false">
      <c r="A329" s="12" t="s">
        <v>179</v>
      </c>
      <c r="B329" s="12" t="s">
        <v>435</v>
      </c>
      <c r="C329" s="13" t="s">
        <v>437</v>
      </c>
      <c r="D329" s="13" t="s">
        <v>433</v>
      </c>
      <c r="E329" s="13" t="s">
        <v>438</v>
      </c>
      <c r="F329" s="12" t="s">
        <v>274</v>
      </c>
      <c r="G329" s="12" t="s">
        <v>276</v>
      </c>
      <c r="H329" s="13" t="s">
        <v>464</v>
      </c>
    </row>
    <row r="330" customFormat="false" ht="60" hidden="false" customHeight="true" outlineLevel="0" collapsed="false">
      <c r="A330" s="12" t="s">
        <v>179</v>
      </c>
      <c r="B330" s="12" t="s">
        <v>438</v>
      </c>
      <c r="C330" s="13" t="s">
        <v>281</v>
      </c>
      <c r="D330" s="13" t="s">
        <v>435</v>
      </c>
      <c r="E330" s="13" t="s">
        <v>440</v>
      </c>
      <c r="F330" s="12" t="s">
        <v>274</v>
      </c>
      <c r="G330" s="12" t="s">
        <v>371</v>
      </c>
      <c r="H330" s="13" t="s">
        <v>441</v>
      </c>
    </row>
    <row r="331" customFormat="false" ht="60" hidden="false" customHeight="true" outlineLevel="0" collapsed="false">
      <c r="A331" s="12" t="s">
        <v>179</v>
      </c>
      <c r="B331" s="12" t="s">
        <v>442</v>
      </c>
      <c r="C331" s="13" t="s">
        <v>273</v>
      </c>
      <c r="D331" s="13" t="s">
        <v>438</v>
      </c>
      <c r="E331" s="13" t="s">
        <v>443</v>
      </c>
      <c r="F331" s="12" t="s">
        <v>274</v>
      </c>
      <c r="G331" s="12" t="s">
        <v>276</v>
      </c>
      <c r="H331" s="13" t="s">
        <v>444</v>
      </c>
    </row>
    <row r="332" customFormat="false" ht="60" hidden="false" customHeight="true" outlineLevel="0" collapsed="false">
      <c r="A332" s="12" t="s">
        <v>179</v>
      </c>
      <c r="B332" s="12" t="s">
        <v>445</v>
      </c>
      <c r="C332" s="13" t="s">
        <v>446</v>
      </c>
      <c r="D332" s="13" t="s">
        <v>438</v>
      </c>
      <c r="E332" s="13" t="s">
        <v>447</v>
      </c>
      <c r="F332" s="12" t="s">
        <v>274</v>
      </c>
      <c r="G332" s="12" t="s">
        <v>276</v>
      </c>
      <c r="H332" s="13" t="s">
        <v>448</v>
      </c>
    </row>
    <row r="333" customFormat="false" ht="60" hidden="false" customHeight="true" outlineLevel="0" collapsed="false">
      <c r="A333" s="12" t="s">
        <v>179</v>
      </c>
      <c r="B333" s="12" t="s">
        <v>447</v>
      </c>
      <c r="C333" s="13" t="s">
        <v>449</v>
      </c>
      <c r="D333" s="13" t="s">
        <v>445</v>
      </c>
      <c r="E333" s="13" t="s">
        <v>450</v>
      </c>
      <c r="F333" s="12" t="s">
        <v>274</v>
      </c>
      <c r="G333" s="12" t="s">
        <v>276</v>
      </c>
      <c r="H333" s="13" t="s">
        <v>451</v>
      </c>
    </row>
    <row r="334" customFormat="false" ht="60" hidden="false" customHeight="true" outlineLevel="0" collapsed="false">
      <c r="A334" s="12" t="s">
        <v>179</v>
      </c>
      <c r="B334" s="12" t="s">
        <v>443</v>
      </c>
      <c r="C334" s="13" t="s">
        <v>452</v>
      </c>
      <c r="D334" s="13" t="s">
        <v>442</v>
      </c>
      <c r="E334" s="13" t="s">
        <v>400</v>
      </c>
      <c r="F334" s="12" t="s">
        <v>274</v>
      </c>
      <c r="G334" s="12" t="s">
        <v>276</v>
      </c>
      <c r="H334" s="13" t="s">
        <v>453</v>
      </c>
    </row>
    <row r="335" customFormat="false" ht="60" hidden="false" customHeight="true" outlineLevel="0" collapsed="false">
      <c r="A335" s="12" t="s">
        <v>179</v>
      </c>
      <c r="B335" s="12" t="s">
        <v>400</v>
      </c>
      <c r="C335" s="13" t="s">
        <v>402</v>
      </c>
      <c r="D335" s="13" t="s">
        <v>443</v>
      </c>
      <c r="E335" s="13" t="s">
        <v>454</v>
      </c>
      <c r="F335" s="12" t="s">
        <v>274</v>
      </c>
      <c r="G335" s="12" t="s">
        <v>276</v>
      </c>
      <c r="H335" s="13" t="s">
        <v>465</v>
      </c>
    </row>
    <row r="336" customFormat="false" ht="60" hidden="false" customHeight="true" outlineLevel="0" collapsed="false">
      <c r="A336" s="12" t="s">
        <v>179</v>
      </c>
      <c r="B336" s="12" t="s">
        <v>450</v>
      </c>
      <c r="C336" s="13" t="s">
        <v>456</v>
      </c>
      <c r="D336" s="13" t="s">
        <v>447</v>
      </c>
      <c r="E336" s="13" t="s">
        <v>454</v>
      </c>
      <c r="F336" s="12" t="s">
        <v>274</v>
      </c>
      <c r="G336" s="12" t="s">
        <v>276</v>
      </c>
      <c r="H336" s="13" t="s">
        <v>457</v>
      </c>
    </row>
    <row r="337" customFormat="false" ht="60" hidden="false" customHeight="true" outlineLevel="0" collapsed="false">
      <c r="A337" s="12" t="s">
        <v>179</v>
      </c>
      <c r="B337" s="12" t="s">
        <v>454</v>
      </c>
      <c r="C337" s="13" t="s">
        <v>299</v>
      </c>
      <c r="D337" s="13" t="s">
        <v>458</v>
      </c>
      <c r="E337" s="13" t="s">
        <v>310</v>
      </c>
      <c r="F337" s="12" t="s">
        <v>274</v>
      </c>
      <c r="G337" s="12" t="s">
        <v>302</v>
      </c>
      <c r="H337" s="13" t="s">
        <v>459</v>
      </c>
    </row>
    <row r="338" customFormat="false" ht="60" hidden="false" customHeight="true" outlineLevel="0" collapsed="false">
      <c r="A338" s="12" t="s">
        <v>179</v>
      </c>
      <c r="B338" s="12" t="s">
        <v>310</v>
      </c>
      <c r="C338" s="13" t="s">
        <v>273</v>
      </c>
      <c r="D338" s="13" t="s">
        <v>454</v>
      </c>
      <c r="E338" s="13" t="s">
        <v>274</v>
      </c>
      <c r="F338" s="12" t="s">
        <v>274</v>
      </c>
      <c r="G338" s="12" t="s">
        <v>371</v>
      </c>
      <c r="H338" s="13" t="s">
        <v>315</v>
      </c>
    </row>
    <row r="339" customFormat="false" ht="60" hidden="false" customHeight="true" outlineLevel="0" collapsed="false">
      <c r="A339" s="12" t="s">
        <v>182</v>
      </c>
      <c r="B339" s="12" t="s">
        <v>272</v>
      </c>
      <c r="C339" s="13" t="s">
        <v>273</v>
      </c>
      <c r="D339" s="13" t="s">
        <v>274</v>
      </c>
      <c r="E339" s="13" t="s">
        <v>433</v>
      </c>
      <c r="F339" s="12" t="s">
        <v>274</v>
      </c>
      <c r="G339" s="12" t="s">
        <v>276</v>
      </c>
      <c r="H339" s="13" t="s">
        <v>277</v>
      </c>
    </row>
    <row r="340" customFormat="false" ht="60" hidden="false" customHeight="true" outlineLevel="0" collapsed="false">
      <c r="A340" s="12" t="s">
        <v>182</v>
      </c>
      <c r="B340" s="12" t="s">
        <v>433</v>
      </c>
      <c r="C340" s="13" t="s">
        <v>434</v>
      </c>
      <c r="D340" s="13" t="s">
        <v>272</v>
      </c>
      <c r="E340" s="13" t="s">
        <v>435</v>
      </c>
      <c r="F340" s="12" t="s">
        <v>274</v>
      </c>
      <c r="G340" s="12" t="s">
        <v>276</v>
      </c>
      <c r="H340" s="13" t="s">
        <v>436</v>
      </c>
    </row>
    <row r="341" customFormat="false" ht="60" hidden="false" customHeight="true" outlineLevel="0" collapsed="false">
      <c r="A341" s="12" t="s">
        <v>182</v>
      </c>
      <c r="B341" s="12" t="s">
        <v>435</v>
      </c>
      <c r="C341" s="13" t="s">
        <v>437</v>
      </c>
      <c r="D341" s="13" t="s">
        <v>433</v>
      </c>
      <c r="E341" s="13" t="s">
        <v>438</v>
      </c>
      <c r="F341" s="12" t="s">
        <v>274</v>
      </c>
      <c r="G341" s="12" t="s">
        <v>276</v>
      </c>
      <c r="H341" s="13" t="s">
        <v>466</v>
      </c>
    </row>
    <row r="342" customFormat="false" ht="60" hidden="false" customHeight="true" outlineLevel="0" collapsed="false">
      <c r="A342" s="12" t="s">
        <v>182</v>
      </c>
      <c r="B342" s="12" t="s">
        <v>438</v>
      </c>
      <c r="C342" s="13" t="s">
        <v>281</v>
      </c>
      <c r="D342" s="13" t="s">
        <v>435</v>
      </c>
      <c r="E342" s="13" t="s">
        <v>440</v>
      </c>
      <c r="F342" s="12" t="s">
        <v>274</v>
      </c>
      <c r="G342" s="12" t="s">
        <v>371</v>
      </c>
      <c r="H342" s="13" t="s">
        <v>441</v>
      </c>
    </row>
    <row r="343" customFormat="false" ht="60" hidden="false" customHeight="true" outlineLevel="0" collapsed="false">
      <c r="A343" s="12" t="s">
        <v>182</v>
      </c>
      <c r="B343" s="12" t="s">
        <v>442</v>
      </c>
      <c r="C343" s="13" t="s">
        <v>273</v>
      </c>
      <c r="D343" s="13" t="s">
        <v>438</v>
      </c>
      <c r="E343" s="13" t="s">
        <v>443</v>
      </c>
      <c r="F343" s="12" t="s">
        <v>274</v>
      </c>
      <c r="G343" s="12" t="s">
        <v>276</v>
      </c>
      <c r="H343" s="13" t="s">
        <v>444</v>
      </c>
    </row>
    <row r="344" customFormat="false" ht="60" hidden="false" customHeight="true" outlineLevel="0" collapsed="false">
      <c r="A344" s="12" t="s">
        <v>182</v>
      </c>
      <c r="B344" s="12" t="s">
        <v>445</v>
      </c>
      <c r="C344" s="13" t="s">
        <v>446</v>
      </c>
      <c r="D344" s="13" t="s">
        <v>438</v>
      </c>
      <c r="E344" s="13" t="s">
        <v>447</v>
      </c>
      <c r="F344" s="12" t="s">
        <v>274</v>
      </c>
      <c r="G344" s="12" t="s">
        <v>276</v>
      </c>
      <c r="H344" s="13" t="s">
        <v>448</v>
      </c>
    </row>
    <row r="345" customFormat="false" ht="60" hidden="false" customHeight="true" outlineLevel="0" collapsed="false">
      <c r="A345" s="12" t="s">
        <v>182</v>
      </c>
      <c r="B345" s="12" t="s">
        <v>447</v>
      </c>
      <c r="C345" s="13" t="s">
        <v>449</v>
      </c>
      <c r="D345" s="13" t="s">
        <v>445</v>
      </c>
      <c r="E345" s="13" t="s">
        <v>450</v>
      </c>
      <c r="F345" s="12" t="s">
        <v>274</v>
      </c>
      <c r="G345" s="12" t="s">
        <v>276</v>
      </c>
      <c r="H345" s="13" t="s">
        <v>451</v>
      </c>
    </row>
    <row r="346" customFormat="false" ht="60" hidden="false" customHeight="true" outlineLevel="0" collapsed="false">
      <c r="A346" s="12" t="s">
        <v>182</v>
      </c>
      <c r="B346" s="12" t="s">
        <v>443</v>
      </c>
      <c r="C346" s="13" t="s">
        <v>452</v>
      </c>
      <c r="D346" s="13" t="s">
        <v>442</v>
      </c>
      <c r="E346" s="13" t="s">
        <v>400</v>
      </c>
      <c r="F346" s="12" t="s">
        <v>274</v>
      </c>
      <c r="G346" s="12" t="s">
        <v>276</v>
      </c>
      <c r="H346" s="13" t="s">
        <v>453</v>
      </c>
    </row>
    <row r="347" customFormat="false" ht="60" hidden="false" customHeight="true" outlineLevel="0" collapsed="false">
      <c r="A347" s="12" t="s">
        <v>182</v>
      </c>
      <c r="B347" s="12" t="s">
        <v>400</v>
      </c>
      <c r="C347" s="13" t="s">
        <v>402</v>
      </c>
      <c r="D347" s="13" t="s">
        <v>443</v>
      </c>
      <c r="E347" s="13" t="s">
        <v>454</v>
      </c>
      <c r="F347" s="12" t="s">
        <v>274</v>
      </c>
      <c r="G347" s="12" t="s">
        <v>276</v>
      </c>
      <c r="H347" s="13" t="s">
        <v>467</v>
      </c>
    </row>
    <row r="348" customFormat="false" ht="60" hidden="false" customHeight="true" outlineLevel="0" collapsed="false">
      <c r="A348" s="12" t="s">
        <v>182</v>
      </c>
      <c r="B348" s="12" t="s">
        <v>450</v>
      </c>
      <c r="C348" s="13" t="s">
        <v>456</v>
      </c>
      <c r="D348" s="13" t="s">
        <v>447</v>
      </c>
      <c r="E348" s="13" t="s">
        <v>454</v>
      </c>
      <c r="F348" s="12" t="s">
        <v>274</v>
      </c>
      <c r="G348" s="12" t="s">
        <v>276</v>
      </c>
      <c r="H348" s="13" t="s">
        <v>457</v>
      </c>
    </row>
    <row r="349" customFormat="false" ht="60" hidden="false" customHeight="true" outlineLevel="0" collapsed="false">
      <c r="A349" s="12" t="s">
        <v>182</v>
      </c>
      <c r="B349" s="12" t="s">
        <v>454</v>
      </c>
      <c r="C349" s="13" t="s">
        <v>299</v>
      </c>
      <c r="D349" s="13" t="s">
        <v>458</v>
      </c>
      <c r="E349" s="13" t="s">
        <v>310</v>
      </c>
      <c r="F349" s="12" t="s">
        <v>274</v>
      </c>
      <c r="G349" s="12" t="s">
        <v>302</v>
      </c>
      <c r="H349" s="13" t="s">
        <v>459</v>
      </c>
    </row>
    <row r="350" customFormat="false" ht="60" hidden="false" customHeight="true" outlineLevel="0" collapsed="false">
      <c r="A350" s="12" t="s">
        <v>182</v>
      </c>
      <c r="B350" s="12" t="s">
        <v>310</v>
      </c>
      <c r="C350" s="13" t="s">
        <v>273</v>
      </c>
      <c r="D350" s="13" t="s">
        <v>454</v>
      </c>
      <c r="E350" s="13" t="s">
        <v>274</v>
      </c>
      <c r="F350" s="12" t="s">
        <v>274</v>
      </c>
      <c r="G350" s="12" t="s">
        <v>371</v>
      </c>
      <c r="H350" s="13" t="s">
        <v>315</v>
      </c>
    </row>
    <row r="351" customFormat="false" ht="60" hidden="false" customHeight="true" outlineLevel="0" collapsed="false">
      <c r="A351" s="12" t="s">
        <v>185</v>
      </c>
      <c r="B351" s="12" t="s">
        <v>272</v>
      </c>
      <c r="C351" s="13" t="s">
        <v>273</v>
      </c>
      <c r="D351" s="13" t="s">
        <v>274</v>
      </c>
      <c r="E351" s="13" t="s">
        <v>433</v>
      </c>
      <c r="F351" s="12" t="s">
        <v>274</v>
      </c>
      <c r="G351" s="12" t="s">
        <v>276</v>
      </c>
      <c r="H351" s="13" t="s">
        <v>277</v>
      </c>
    </row>
    <row r="352" customFormat="false" ht="60" hidden="false" customHeight="true" outlineLevel="0" collapsed="false">
      <c r="A352" s="12" t="s">
        <v>185</v>
      </c>
      <c r="B352" s="12" t="s">
        <v>433</v>
      </c>
      <c r="C352" s="13" t="s">
        <v>434</v>
      </c>
      <c r="D352" s="13" t="s">
        <v>272</v>
      </c>
      <c r="E352" s="13" t="s">
        <v>435</v>
      </c>
      <c r="F352" s="12" t="s">
        <v>274</v>
      </c>
      <c r="G352" s="12" t="s">
        <v>276</v>
      </c>
      <c r="H352" s="13" t="s">
        <v>436</v>
      </c>
    </row>
    <row r="353" customFormat="false" ht="60" hidden="false" customHeight="true" outlineLevel="0" collapsed="false">
      <c r="A353" s="12" t="s">
        <v>185</v>
      </c>
      <c r="B353" s="12" t="s">
        <v>435</v>
      </c>
      <c r="C353" s="13" t="s">
        <v>437</v>
      </c>
      <c r="D353" s="13" t="s">
        <v>433</v>
      </c>
      <c r="E353" s="13" t="s">
        <v>438</v>
      </c>
      <c r="F353" s="12" t="s">
        <v>274</v>
      </c>
      <c r="G353" s="12" t="s">
        <v>276</v>
      </c>
      <c r="H353" s="13" t="s">
        <v>468</v>
      </c>
    </row>
    <row r="354" customFormat="false" ht="60" hidden="false" customHeight="true" outlineLevel="0" collapsed="false">
      <c r="A354" s="12" t="s">
        <v>185</v>
      </c>
      <c r="B354" s="12" t="s">
        <v>438</v>
      </c>
      <c r="C354" s="13" t="s">
        <v>281</v>
      </c>
      <c r="D354" s="13" t="s">
        <v>435</v>
      </c>
      <c r="E354" s="13" t="s">
        <v>440</v>
      </c>
      <c r="F354" s="12" t="s">
        <v>274</v>
      </c>
      <c r="G354" s="12" t="s">
        <v>371</v>
      </c>
      <c r="H354" s="13" t="s">
        <v>441</v>
      </c>
    </row>
    <row r="355" customFormat="false" ht="60" hidden="false" customHeight="true" outlineLevel="0" collapsed="false">
      <c r="A355" s="12" t="s">
        <v>185</v>
      </c>
      <c r="B355" s="12" t="s">
        <v>442</v>
      </c>
      <c r="C355" s="13" t="s">
        <v>273</v>
      </c>
      <c r="D355" s="13" t="s">
        <v>438</v>
      </c>
      <c r="E355" s="13" t="s">
        <v>443</v>
      </c>
      <c r="F355" s="12" t="s">
        <v>274</v>
      </c>
      <c r="G355" s="12" t="s">
        <v>276</v>
      </c>
      <c r="H355" s="13" t="s">
        <v>444</v>
      </c>
    </row>
    <row r="356" customFormat="false" ht="60" hidden="false" customHeight="true" outlineLevel="0" collapsed="false">
      <c r="A356" s="12" t="s">
        <v>185</v>
      </c>
      <c r="B356" s="12" t="s">
        <v>445</v>
      </c>
      <c r="C356" s="13" t="s">
        <v>446</v>
      </c>
      <c r="D356" s="13" t="s">
        <v>438</v>
      </c>
      <c r="E356" s="13" t="s">
        <v>447</v>
      </c>
      <c r="F356" s="12" t="s">
        <v>274</v>
      </c>
      <c r="G356" s="12" t="s">
        <v>276</v>
      </c>
      <c r="H356" s="13" t="s">
        <v>448</v>
      </c>
    </row>
    <row r="357" customFormat="false" ht="60" hidden="false" customHeight="true" outlineLevel="0" collapsed="false">
      <c r="A357" s="12" t="s">
        <v>185</v>
      </c>
      <c r="B357" s="12" t="s">
        <v>447</v>
      </c>
      <c r="C357" s="13" t="s">
        <v>449</v>
      </c>
      <c r="D357" s="13" t="s">
        <v>445</v>
      </c>
      <c r="E357" s="13" t="s">
        <v>450</v>
      </c>
      <c r="F357" s="12" t="s">
        <v>274</v>
      </c>
      <c r="G357" s="12" t="s">
        <v>276</v>
      </c>
      <c r="H357" s="13" t="s">
        <v>451</v>
      </c>
    </row>
    <row r="358" customFormat="false" ht="60" hidden="false" customHeight="true" outlineLevel="0" collapsed="false">
      <c r="A358" s="12" t="s">
        <v>185</v>
      </c>
      <c r="B358" s="12" t="s">
        <v>443</v>
      </c>
      <c r="C358" s="13" t="s">
        <v>452</v>
      </c>
      <c r="D358" s="13" t="s">
        <v>442</v>
      </c>
      <c r="E358" s="13" t="s">
        <v>400</v>
      </c>
      <c r="F358" s="12" t="s">
        <v>274</v>
      </c>
      <c r="G358" s="12" t="s">
        <v>276</v>
      </c>
      <c r="H358" s="13" t="s">
        <v>453</v>
      </c>
    </row>
    <row r="359" customFormat="false" ht="60" hidden="false" customHeight="true" outlineLevel="0" collapsed="false">
      <c r="A359" s="12" t="s">
        <v>185</v>
      </c>
      <c r="B359" s="12" t="s">
        <v>400</v>
      </c>
      <c r="C359" s="13" t="s">
        <v>402</v>
      </c>
      <c r="D359" s="13" t="s">
        <v>443</v>
      </c>
      <c r="E359" s="13" t="s">
        <v>454</v>
      </c>
      <c r="F359" s="12" t="s">
        <v>274</v>
      </c>
      <c r="G359" s="12" t="s">
        <v>276</v>
      </c>
      <c r="H359" s="13" t="s">
        <v>469</v>
      </c>
    </row>
    <row r="360" customFormat="false" ht="60" hidden="false" customHeight="true" outlineLevel="0" collapsed="false">
      <c r="A360" s="12" t="s">
        <v>185</v>
      </c>
      <c r="B360" s="12" t="s">
        <v>450</v>
      </c>
      <c r="C360" s="13" t="s">
        <v>456</v>
      </c>
      <c r="D360" s="13" t="s">
        <v>447</v>
      </c>
      <c r="E360" s="13" t="s">
        <v>454</v>
      </c>
      <c r="F360" s="12" t="s">
        <v>274</v>
      </c>
      <c r="G360" s="12" t="s">
        <v>276</v>
      </c>
      <c r="H360" s="13" t="s">
        <v>457</v>
      </c>
    </row>
    <row r="361" customFormat="false" ht="60" hidden="false" customHeight="true" outlineLevel="0" collapsed="false">
      <c r="A361" s="12" t="s">
        <v>185</v>
      </c>
      <c r="B361" s="12" t="s">
        <v>454</v>
      </c>
      <c r="C361" s="13" t="s">
        <v>299</v>
      </c>
      <c r="D361" s="13" t="s">
        <v>458</v>
      </c>
      <c r="E361" s="13" t="s">
        <v>310</v>
      </c>
      <c r="F361" s="12" t="s">
        <v>274</v>
      </c>
      <c r="G361" s="12" t="s">
        <v>302</v>
      </c>
      <c r="H361" s="13" t="s">
        <v>459</v>
      </c>
    </row>
    <row r="362" customFormat="false" ht="60" hidden="false" customHeight="true" outlineLevel="0" collapsed="false">
      <c r="A362" s="12" t="s">
        <v>185</v>
      </c>
      <c r="B362" s="12" t="s">
        <v>310</v>
      </c>
      <c r="C362" s="13" t="s">
        <v>273</v>
      </c>
      <c r="D362" s="13" t="s">
        <v>454</v>
      </c>
      <c r="E362" s="13" t="s">
        <v>274</v>
      </c>
      <c r="F362" s="12" t="s">
        <v>274</v>
      </c>
      <c r="G362" s="12" t="s">
        <v>371</v>
      </c>
      <c r="H362" s="13" t="s">
        <v>315</v>
      </c>
    </row>
    <row r="363" customFormat="false" ht="60" hidden="false" customHeight="true" outlineLevel="0" collapsed="false">
      <c r="A363" s="12" t="s">
        <v>189</v>
      </c>
      <c r="B363" s="12" t="s">
        <v>272</v>
      </c>
      <c r="C363" s="13" t="s">
        <v>273</v>
      </c>
      <c r="D363" s="13" t="s">
        <v>274</v>
      </c>
      <c r="E363" s="13" t="s">
        <v>433</v>
      </c>
      <c r="F363" s="12" t="s">
        <v>274</v>
      </c>
      <c r="G363" s="12" t="s">
        <v>276</v>
      </c>
      <c r="H363" s="13" t="s">
        <v>277</v>
      </c>
    </row>
    <row r="364" customFormat="false" ht="60" hidden="false" customHeight="true" outlineLevel="0" collapsed="false">
      <c r="A364" s="12" t="s">
        <v>189</v>
      </c>
      <c r="B364" s="12" t="s">
        <v>433</v>
      </c>
      <c r="C364" s="13" t="s">
        <v>434</v>
      </c>
      <c r="D364" s="13" t="s">
        <v>272</v>
      </c>
      <c r="E364" s="13" t="s">
        <v>435</v>
      </c>
      <c r="F364" s="12" t="s">
        <v>274</v>
      </c>
      <c r="G364" s="12" t="s">
        <v>276</v>
      </c>
      <c r="H364" s="13" t="s">
        <v>436</v>
      </c>
    </row>
    <row r="365" customFormat="false" ht="60" hidden="false" customHeight="true" outlineLevel="0" collapsed="false">
      <c r="A365" s="12" t="s">
        <v>189</v>
      </c>
      <c r="B365" s="12" t="s">
        <v>435</v>
      </c>
      <c r="C365" s="13" t="s">
        <v>437</v>
      </c>
      <c r="D365" s="13" t="s">
        <v>433</v>
      </c>
      <c r="E365" s="13" t="s">
        <v>438</v>
      </c>
      <c r="F365" s="12" t="s">
        <v>274</v>
      </c>
      <c r="G365" s="12" t="s">
        <v>276</v>
      </c>
      <c r="H365" s="13" t="s">
        <v>470</v>
      </c>
    </row>
    <row r="366" customFormat="false" ht="60" hidden="false" customHeight="true" outlineLevel="0" collapsed="false">
      <c r="A366" s="12" t="s">
        <v>189</v>
      </c>
      <c r="B366" s="12" t="s">
        <v>438</v>
      </c>
      <c r="C366" s="13" t="s">
        <v>281</v>
      </c>
      <c r="D366" s="13" t="s">
        <v>435</v>
      </c>
      <c r="E366" s="13" t="s">
        <v>440</v>
      </c>
      <c r="F366" s="12" t="s">
        <v>274</v>
      </c>
      <c r="G366" s="12" t="s">
        <v>371</v>
      </c>
      <c r="H366" s="13" t="s">
        <v>441</v>
      </c>
    </row>
    <row r="367" customFormat="false" ht="60" hidden="false" customHeight="true" outlineLevel="0" collapsed="false">
      <c r="A367" s="12" t="s">
        <v>189</v>
      </c>
      <c r="B367" s="12" t="s">
        <v>442</v>
      </c>
      <c r="C367" s="13" t="s">
        <v>273</v>
      </c>
      <c r="D367" s="13" t="s">
        <v>438</v>
      </c>
      <c r="E367" s="13" t="s">
        <v>443</v>
      </c>
      <c r="F367" s="12" t="s">
        <v>274</v>
      </c>
      <c r="G367" s="12" t="s">
        <v>276</v>
      </c>
      <c r="H367" s="13" t="s">
        <v>444</v>
      </c>
    </row>
    <row r="368" customFormat="false" ht="60" hidden="false" customHeight="true" outlineLevel="0" collapsed="false">
      <c r="A368" s="12" t="s">
        <v>189</v>
      </c>
      <c r="B368" s="12" t="s">
        <v>445</v>
      </c>
      <c r="C368" s="13" t="s">
        <v>446</v>
      </c>
      <c r="D368" s="13" t="s">
        <v>438</v>
      </c>
      <c r="E368" s="13" t="s">
        <v>447</v>
      </c>
      <c r="F368" s="12" t="s">
        <v>274</v>
      </c>
      <c r="G368" s="12" t="s">
        <v>276</v>
      </c>
      <c r="H368" s="13" t="s">
        <v>448</v>
      </c>
    </row>
    <row r="369" customFormat="false" ht="60" hidden="false" customHeight="true" outlineLevel="0" collapsed="false">
      <c r="A369" s="12" t="s">
        <v>189</v>
      </c>
      <c r="B369" s="12" t="s">
        <v>447</v>
      </c>
      <c r="C369" s="13" t="s">
        <v>449</v>
      </c>
      <c r="D369" s="13" t="s">
        <v>445</v>
      </c>
      <c r="E369" s="13" t="s">
        <v>450</v>
      </c>
      <c r="F369" s="12" t="s">
        <v>274</v>
      </c>
      <c r="G369" s="12" t="s">
        <v>276</v>
      </c>
      <c r="H369" s="13" t="s">
        <v>451</v>
      </c>
    </row>
    <row r="370" customFormat="false" ht="60" hidden="false" customHeight="true" outlineLevel="0" collapsed="false">
      <c r="A370" s="12" t="s">
        <v>189</v>
      </c>
      <c r="B370" s="12" t="s">
        <v>443</v>
      </c>
      <c r="C370" s="13" t="s">
        <v>452</v>
      </c>
      <c r="D370" s="13" t="s">
        <v>442</v>
      </c>
      <c r="E370" s="13" t="s">
        <v>400</v>
      </c>
      <c r="F370" s="12" t="s">
        <v>274</v>
      </c>
      <c r="G370" s="12" t="s">
        <v>276</v>
      </c>
      <c r="H370" s="13" t="s">
        <v>453</v>
      </c>
    </row>
    <row r="371" customFormat="false" ht="60" hidden="false" customHeight="true" outlineLevel="0" collapsed="false">
      <c r="A371" s="12" t="s">
        <v>189</v>
      </c>
      <c r="B371" s="12" t="s">
        <v>400</v>
      </c>
      <c r="C371" s="13" t="s">
        <v>402</v>
      </c>
      <c r="D371" s="13" t="s">
        <v>443</v>
      </c>
      <c r="E371" s="13" t="s">
        <v>454</v>
      </c>
      <c r="F371" s="12" t="s">
        <v>274</v>
      </c>
      <c r="G371" s="12" t="s">
        <v>276</v>
      </c>
      <c r="H371" s="13" t="s">
        <v>471</v>
      </c>
    </row>
    <row r="372" customFormat="false" ht="60" hidden="false" customHeight="true" outlineLevel="0" collapsed="false">
      <c r="A372" s="12" t="s">
        <v>189</v>
      </c>
      <c r="B372" s="12" t="s">
        <v>450</v>
      </c>
      <c r="C372" s="13" t="s">
        <v>456</v>
      </c>
      <c r="D372" s="13" t="s">
        <v>447</v>
      </c>
      <c r="E372" s="13" t="s">
        <v>454</v>
      </c>
      <c r="F372" s="12" t="s">
        <v>274</v>
      </c>
      <c r="G372" s="12" t="s">
        <v>276</v>
      </c>
      <c r="H372" s="13" t="s">
        <v>457</v>
      </c>
    </row>
    <row r="373" customFormat="false" ht="60" hidden="false" customHeight="true" outlineLevel="0" collapsed="false">
      <c r="A373" s="12" t="s">
        <v>189</v>
      </c>
      <c r="B373" s="12" t="s">
        <v>454</v>
      </c>
      <c r="C373" s="13" t="s">
        <v>299</v>
      </c>
      <c r="D373" s="13" t="s">
        <v>458</v>
      </c>
      <c r="E373" s="13" t="s">
        <v>310</v>
      </c>
      <c r="F373" s="12" t="s">
        <v>274</v>
      </c>
      <c r="G373" s="12" t="s">
        <v>302</v>
      </c>
      <c r="H373" s="13" t="s">
        <v>459</v>
      </c>
    </row>
    <row r="374" customFormat="false" ht="60" hidden="false" customHeight="true" outlineLevel="0" collapsed="false">
      <c r="A374" s="12" t="s">
        <v>189</v>
      </c>
      <c r="B374" s="12" t="s">
        <v>310</v>
      </c>
      <c r="C374" s="13" t="s">
        <v>273</v>
      </c>
      <c r="D374" s="13" t="s">
        <v>454</v>
      </c>
      <c r="E374" s="13" t="s">
        <v>274</v>
      </c>
      <c r="F374" s="12" t="s">
        <v>274</v>
      </c>
      <c r="G374" s="12" t="s">
        <v>371</v>
      </c>
      <c r="H374" s="13" t="s">
        <v>315</v>
      </c>
    </row>
    <row r="375" customFormat="false" ht="60" hidden="false" customHeight="true" outlineLevel="0" collapsed="false">
      <c r="A375" s="12" t="s">
        <v>191</v>
      </c>
      <c r="B375" s="12" t="s">
        <v>272</v>
      </c>
      <c r="C375" s="13" t="s">
        <v>273</v>
      </c>
      <c r="D375" s="13" t="s">
        <v>274</v>
      </c>
      <c r="E375" s="13" t="s">
        <v>472</v>
      </c>
      <c r="F375" s="12" t="s">
        <v>274</v>
      </c>
      <c r="G375" s="12" t="s">
        <v>276</v>
      </c>
      <c r="H375" s="13" t="s">
        <v>277</v>
      </c>
    </row>
    <row r="376" customFormat="false" ht="60" hidden="false" customHeight="true" outlineLevel="0" collapsed="false">
      <c r="A376" s="12" t="s">
        <v>191</v>
      </c>
      <c r="B376" s="12" t="s">
        <v>473</v>
      </c>
      <c r="C376" s="13" t="s">
        <v>474</v>
      </c>
      <c r="D376" s="13" t="s">
        <v>272</v>
      </c>
      <c r="E376" s="13" t="s">
        <v>475</v>
      </c>
      <c r="F376" s="12" t="s">
        <v>274</v>
      </c>
      <c r="G376" s="12" t="s">
        <v>276</v>
      </c>
      <c r="H376" s="13" t="s">
        <v>476</v>
      </c>
    </row>
    <row r="377" customFormat="false" ht="60" hidden="false" customHeight="true" outlineLevel="0" collapsed="false">
      <c r="A377" s="12" t="s">
        <v>191</v>
      </c>
      <c r="B377" s="12" t="s">
        <v>477</v>
      </c>
      <c r="C377" s="13" t="s">
        <v>474</v>
      </c>
      <c r="D377" s="13" t="s">
        <v>272</v>
      </c>
      <c r="E377" s="13" t="s">
        <v>475</v>
      </c>
      <c r="F377" s="12" t="s">
        <v>274</v>
      </c>
      <c r="G377" s="12" t="s">
        <v>276</v>
      </c>
      <c r="H377" s="13" t="s">
        <v>478</v>
      </c>
    </row>
    <row r="378" customFormat="false" ht="60" hidden="false" customHeight="true" outlineLevel="0" collapsed="false">
      <c r="A378" s="12" t="s">
        <v>191</v>
      </c>
      <c r="B378" s="12" t="s">
        <v>479</v>
      </c>
      <c r="C378" s="13" t="s">
        <v>474</v>
      </c>
      <c r="D378" s="13" t="s">
        <v>272</v>
      </c>
      <c r="E378" s="13" t="s">
        <v>475</v>
      </c>
      <c r="F378" s="12" t="s">
        <v>274</v>
      </c>
      <c r="G378" s="12" t="s">
        <v>276</v>
      </c>
      <c r="H378" s="13" t="s">
        <v>480</v>
      </c>
    </row>
    <row r="379" customFormat="false" ht="60" hidden="false" customHeight="true" outlineLevel="0" collapsed="false">
      <c r="A379" s="12" t="s">
        <v>191</v>
      </c>
      <c r="B379" s="12" t="s">
        <v>475</v>
      </c>
      <c r="C379" s="13" t="s">
        <v>299</v>
      </c>
      <c r="D379" s="13" t="s">
        <v>472</v>
      </c>
      <c r="E379" s="13" t="s">
        <v>481</v>
      </c>
      <c r="F379" s="12" t="s">
        <v>274</v>
      </c>
      <c r="G379" s="12" t="s">
        <v>276</v>
      </c>
      <c r="H379" s="13" t="s">
        <v>482</v>
      </c>
    </row>
    <row r="380" customFormat="false" ht="60" hidden="false" customHeight="true" outlineLevel="0" collapsed="false">
      <c r="A380" s="12" t="s">
        <v>191</v>
      </c>
      <c r="B380" s="12" t="s">
        <v>481</v>
      </c>
      <c r="C380" s="13" t="s">
        <v>452</v>
      </c>
      <c r="D380" s="13" t="s">
        <v>475</v>
      </c>
      <c r="E380" s="13" t="s">
        <v>483</v>
      </c>
      <c r="F380" s="12" t="s">
        <v>274</v>
      </c>
      <c r="G380" s="12" t="s">
        <v>276</v>
      </c>
      <c r="H380" s="13" t="s">
        <v>484</v>
      </c>
    </row>
    <row r="381" customFormat="false" ht="60" hidden="false" customHeight="true" outlineLevel="0" collapsed="false">
      <c r="A381" s="12" t="s">
        <v>191</v>
      </c>
      <c r="B381" s="12" t="s">
        <v>483</v>
      </c>
      <c r="C381" s="13" t="s">
        <v>281</v>
      </c>
      <c r="D381" s="13" t="s">
        <v>481</v>
      </c>
      <c r="E381" s="13" t="s">
        <v>485</v>
      </c>
      <c r="F381" s="12" t="s">
        <v>274</v>
      </c>
      <c r="G381" s="12" t="s">
        <v>276</v>
      </c>
      <c r="H381" s="13" t="s">
        <v>486</v>
      </c>
    </row>
    <row r="382" customFormat="false" ht="60" hidden="false" customHeight="true" outlineLevel="0" collapsed="false">
      <c r="A382" s="12" t="s">
        <v>191</v>
      </c>
      <c r="B382" s="12" t="s">
        <v>487</v>
      </c>
      <c r="C382" s="13" t="s">
        <v>273</v>
      </c>
      <c r="D382" s="13" t="s">
        <v>483</v>
      </c>
      <c r="E382" s="13" t="s">
        <v>400</v>
      </c>
      <c r="F382" s="12" t="s">
        <v>274</v>
      </c>
      <c r="G382" s="12" t="s">
        <v>276</v>
      </c>
      <c r="H382" s="13" t="s">
        <v>488</v>
      </c>
    </row>
    <row r="383" customFormat="false" ht="60" hidden="false" customHeight="true" outlineLevel="0" collapsed="false">
      <c r="A383" s="12" t="s">
        <v>191</v>
      </c>
      <c r="B383" s="12" t="s">
        <v>489</v>
      </c>
      <c r="C383" s="13" t="s">
        <v>490</v>
      </c>
      <c r="D383" s="13" t="s">
        <v>483</v>
      </c>
      <c r="E383" s="13" t="s">
        <v>491</v>
      </c>
      <c r="F383" s="12" t="s">
        <v>274</v>
      </c>
      <c r="G383" s="12" t="s">
        <v>276</v>
      </c>
      <c r="H383" s="13" t="s">
        <v>492</v>
      </c>
    </row>
    <row r="384" customFormat="false" ht="60" hidden="false" customHeight="true" outlineLevel="0" collapsed="false">
      <c r="A384" s="12" t="s">
        <v>191</v>
      </c>
      <c r="B384" s="12" t="s">
        <v>491</v>
      </c>
      <c r="C384" s="13" t="s">
        <v>373</v>
      </c>
      <c r="D384" s="13" t="s">
        <v>489</v>
      </c>
      <c r="E384" s="13" t="s">
        <v>400</v>
      </c>
      <c r="F384" s="12" t="s">
        <v>274</v>
      </c>
      <c r="G384" s="12" t="s">
        <v>276</v>
      </c>
      <c r="H384" s="13" t="s">
        <v>493</v>
      </c>
    </row>
    <row r="385" customFormat="false" ht="60" hidden="false" customHeight="true" outlineLevel="0" collapsed="false">
      <c r="A385" s="12" t="s">
        <v>191</v>
      </c>
      <c r="B385" s="12" t="s">
        <v>400</v>
      </c>
      <c r="C385" s="13" t="s">
        <v>402</v>
      </c>
      <c r="D385" s="13" t="s">
        <v>494</v>
      </c>
      <c r="E385" s="13" t="s">
        <v>454</v>
      </c>
      <c r="F385" s="12" t="s">
        <v>274</v>
      </c>
      <c r="G385" s="12" t="s">
        <v>302</v>
      </c>
      <c r="H385" s="13" t="s">
        <v>495</v>
      </c>
    </row>
    <row r="386" customFormat="false" ht="60" hidden="false" customHeight="true" outlineLevel="0" collapsed="false">
      <c r="A386" s="12" t="s">
        <v>191</v>
      </c>
      <c r="B386" s="12" t="s">
        <v>454</v>
      </c>
      <c r="C386" s="13" t="s">
        <v>273</v>
      </c>
      <c r="D386" s="13" t="s">
        <v>400</v>
      </c>
      <c r="E386" s="13" t="s">
        <v>310</v>
      </c>
      <c r="F386" s="12" t="s">
        <v>274</v>
      </c>
      <c r="G386" s="12" t="s">
        <v>276</v>
      </c>
      <c r="H386" s="13" t="s">
        <v>496</v>
      </c>
    </row>
    <row r="387" customFormat="false" ht="60" hidden="false" customHeight="true" outlineLevel="0" collapsed="false">
      <c r="A387" s="12" t="s">
        <v>191</v>
      </c>
      <c r="B387" s="12" t="s">
        <v>310</v>
      </c>
      <c r="C387" s="13" t="s">
        <v>273</v>
      </c>
      <c r="D387" s="13" t="s">
        <v>454</v>
      </c>
      <c r="E387" s="13" t="s">
        <v>274</v>
      </c>
      <c r="F387" s="12" t="s">
        <v>274</v>
      </c>
      <c r="G387" s="12" t="s">
        <v>371</v>
      </c>
      <c r="H387" s="13" t="s">
        <v>315</v>
      </c>
    </row>
    <row r="388" customFormat="false" ht="60" hidden="false" customHeight="true" outlineLevel="0" collapsed="false">
      <c r="A388" s="12" t="s">
        <v>195</v>
      </c>
      <c r="B388" s="12" t="s">
        <v>272</v>
      </c>
      <c r="C388" s="13" t="s">
        <v>273</v>
      </c>
      <c r="D388" s="13" t="s">
        <v>274</v>
      </c>
      <c r="E388" s="13" t="s">
        <v>472</v>
      </c>
      <c r="F388" s="12" t="s">
        <v>274</v>
      </c>
      <c r="G388" s="12" t="s">
        <v>276</v>
      </c>
      <c r="H388" s="13" t="s">
        <v>277</v>
      </c>
    </row>
    <row r="389" customFormat="false" ht="60" hidden="false" customHeight="true" outlineLevel="0" collapsed="false">
      <c r="A389" s="12" t="s">
        <v>195</v>
      </c>
      <c r="B389" s="12" t="s">
        <v>473</v>
      </c>
      <c r="C389" s="13" t="s">
        <v>474</v>
      </c>
      <c r="D389" s="13" t="s">
        <v>272</v>
      </c>
      <c r="E389" s="13" t="s">
        <v>475</v>
      </c>
      <c r="F389" s="12" t="s">
        <v>274</v>
      </c>
      <c r="G389" s="12" t="s">
        <v>276</v>
      </c>
      <c r="H389" s="13" t="s">
        <v>476</v>
      </c>
    </row>
    <row r="390" customFormat="false" ht="60" hidden="false" customHeight="true" outlineLevel="0" collapsed="false">
      <c r="A390" s="12" t="s">
        <v>195</v>
      </c>
      <c r="B390" s="12" t="s">
        <v>477</v>
      </c>
      <c r="C390" s="13" t="s">
        <v>474</v>
      </c>
      <c r="D390" s="13" t="s">
        <v>272</v>
      </c>
      <c r="E390" s="13" t="s">
        <v>475</v>
      </c>
      <c r="F390" s="12" t="s">
        <v>274</v>
      </c>
      <c r="G390" s="12" t="s">
        <v>276</v>
      </c>
      <c r="H390" s="13" t="s">
        <v>478</v>
      </c>
    </row>
    <row r="391" customFormat="false" ht="60" hidden="false" customHeight="true" outlineLevel="0" collapsed="false">
      <c r="A391" s="12" t="s">
        <v>195</v>
      </c>
      <c r="B391" s="12" t="s">
        <v>479</v>
      </c>
      <c r="C391" s="13" t="s">
        <v>474</v>
      </c>
      <c r="D391" s="13" t="s">
        <v>272</v>
      </c>
      <c r="E391" s="13" t="s">
        <v>475</v>
      </c>
      <c r="F391" s="12" t="s">
        <v>274</v>
      </c>
      <c r="G391" s="12" t="s">
        <v>276</v>
      </c>
      <c r="H391" s="13" t="s">
        <v>480</v>
      </c>
    </row>
    <row r="392" customFormat="false" ht="60" hidden="false" customHeight="true" outlineLevel="0" collapsed="false">
      <c r="A392" s="12" t="s">
        <v>195</v>
      </c>
      <c r="B392" s="12" t="s">
        <v>475</v>
      </c>
      <c r="C392" s="13" t="s">
        <v>299</v>
      </c>
      <c r="D392" s="13" t="s">
        <v>472</v>
      </c>
      <c r="E392" s="13" t="s">
        <v>497</v>
      </c>
      <c r="F392" s="12" t="s">
        <v>274</v>
      </c>
      <c r="G392" s="12" t="s">
        <v>276</v>
      </c>
      <c r="H392" s="13" t="s">
        <v>482</v>
      </c>
    </row>
    <row r="393" customFormat="false" ht="60" hidden="false" customHeight="true" outlineLevel="0" collapsed="false">
      <c r="A393" s="12" t="s">
        <v>195</v>
      </c>
      <c r="B393" s="12" t="s">
        <v>497</v>
      </c>
      <c r="C393" s="13" t="s">
        <v>452</v>
      </c>
      <c r="D393" s="13" t="s">
        <v>475</v>
      </c>
      <c r="E393" s="13" t="s">
        <v>483</v>
      </c>
      <c r="F393" s="12" t="s">
        <v>274</v>
      </c>
      <c r="G393" s="12" t="s">
        <v>276</v>
      </c>
      <c r="H393" s="13" t="s">
        <v>498</v>
      </c>
    </row>
    <row r="394" customFormat="false" ht="60" hidden="false" customHeight="true" outlineLevel="0" collapsed="false">
      <c r="A394" s="12" t="s">
        <v>195</v>
      </c>
      <c r="B394" s="12" t="s">
        <v>483</v>
      </c>
      <c r="C394" s="13" t="s">
        <v>281</v>
      </c>
      <c r="D394" s="13" t="s">
        <v>497</v>
      </c>
      <c r="E394" s="13" t="s">
        <v>485</v>
      </c>
      <c r="F394" s="12" t="s">
        <v>274</v>
      </c>
      <c r="G394" s="12" t="s">
        <v>276</v>
      </c>
      <c r="H394" s="13" t="s">
        <v>486</v>
      </c>
    </row>
    <row r="395" customFormat="false" ht="60" hidden="false" customHeight="true" outlineLevel="0" collapsed="false">
      <c r="A395" s="12" t="s">
        <v>195</v>
      </c>
      <c r="B395" s="12" t="s">
        <v>487</v>
      </c>
      <c r="C395" s="13" t="s">
        <v>273</v>
      </c>
      <c r="D395" s="13" t="s">
        <v>483</v>
      </c>
      <c r="E395" s="13" t="s">
        <v>400</v>
      </c>
      <c r="F395" s="12" t="s">
        <v>274</v>
      </c>
      <c r="G395" s="12" t="s">
        <v>276</v>
      </c>
      <c r="H395" s="13" t="s">
        <v>488</v>
      </c>
    </row>
    <row r="396" customFormat="false" ht="60" hidden="false" customHeight="true" outlineLevel="0" collapsed="false">
      <c r="A396" s="12" t="s">
        <v>195</v>
      </c>
      <c r="B396" s="12" t="s">
        <v>489</v>
      </c>
      <c r="C396" s="13" t="s">
        <v>490</v>
      </c>
      <c r="D396" s="13" t="s">
        <v>483</v>
      </c>
      <c r="E396" s="13" t="s">
        <v>491</v>
      </c>
      <c r="F396" s="12" t="s">
        <v>274</v>
      </c>
      <c r="G396" s="12" t="s">
        <v>276</v>
      </c>
      <c r="H396" s="13" t="s">
        <v>492</v>
      </c>
    </row>
    <row r="397" customFormat="false" ht="60" hidden="false" customHeight="true" outlineLevel="0" collapsed="false">
      <c r="A397" s="12" t="s">
        <v>195</v>
      </c>
      <c r="B397" s="12" t="s">
        <v>491</v>
      </c>
      <c r="C397" s="13" t="s">
        <v>373</v>
      </c>
      <c r="D397" s="13" t="s">
        <v>489</v>
      </c>
      <c r="E397" s="13" t="s">
        <v>400</v>
      </c>
      <c r="F397" s="12" t="s">
        <v>274</v>
      </c>
      <c r="G397" s="12" t="s">
        <v>276</v>
      </c>
      <c r="H397" s="13" t="s">
        <v>493</v>
      </c>
    </row>
    <row r="398" customFormat="false" ht="60" hidden="false" customHeight="true" outlineLevel="0" collapsed="false">
      <c r="A398" s="12" t="s">
        <v>195</v>
      </c>
      <c r="B398" s="12" t="s">
        <v>400</v>
      </c>
      <c r="C398" s="13" t="s">
        <v>402</v>
      </c>
      <c r="D398" s="13" t="s">
        <v>494</v>
      </c>
      <c r="E398" s="13" t="s">
        <v>454</v>
      </c>
      <c r="F398" s="12" t="s">
        <v>274</v>
      </c>
      <c r="G398" s="12" t="s">
        <v>302</v>
      </c>
      <c r="H398" s="13" t="s">
        <v>499</v>
      </c>
    </row>
    <row r="399" customFormat="false" ht="60" hidden="false" customHeight="true" outlineLevel="0" collapsed="false">
      <c r="A399" s="12" t="s">
        <v>195</v>
      </c>
      <c r="B399" s="12" t="s">
        <v>454</v>
      </c>
      <c r="C399" s="13" t="s">
        <v>273</v>
      </c>
      <c r="D399" s="13" t="s">
        <v>400</v>
      </c>
      <c r="E399" s="13" t="s">
        <v>310</v>
      </c>
      <c r="F399" s="12" t="s">
        <v>274</v>
      </c>
      <c r="G399" s="12" t="s">
        <v>276</v>
      </c>
      <c r="H399" s="13" t="s">
        <v>496</v>
      </c>
    </row>
    <row r="400" customFormat="false" ht="60" hidden="false" customHeight="true" outlineLevel="0" collapsed="false">
      <c r="A400" s="12" t="s">
        <v>195</v>
      </c>
      <c r="B400" s="12" t="s">
        <v>310</v>
      </c>
      <c r="C400" s="13" t="s">
        <v>273</v>
      </c>
      <c r="D400" s="13" t="s">
        <v>454</v>
      </c>
      <c r="E400" s="13" t="s">
        <v>274</v>
      </c>
      <c r="F400" s="12" t="s">
        <v>274</v>
      </c>
      <c r="G400" s="12" t="s">
        <v>371</v>
      </c>
      <c r="H400" s="13" t="s">
        <v>315</v>
      </c>
    </row>
    <row r="401" customFormat="false" ht="60" hidden="false" customHeight="true" outlineLevel="0" collapsed="false">
      <c r="A401" s="12" t="s">
        <v>198</v>
      </c>
      <c r="B401" s="12" t="s">
        <v>272</v>
      </c>
      <c r="C401" s="13" t="s">
        <v>273</v>
      </c>
      <c r="D401" s="13" t="s">
        <v>274</v>
      </c>
      <c r="E401" s="13" t="s">
        <v>472</v>
      </c>
      <c r="F401" s="12" t="s">
        <v>274</v>
      </c>
      <c r="G401" s="12" t="s">
        <v>276</v>
      </c>
      <c r="H401" s="13" t="s">
        <v>277</v>
      </c>
    </row>
    <row r="402" customFormat="false" ht="60" hidden="false" customHeight="true" outlineLevel="0" collapsed="false">
      <c r="A402" s="12" t="s">
        <v>198</v>
      </c>
      <c r="B402" s="12" t="s">
        <v>473</v>
      </c>
      <c r="C402" s="13" t="s">
        <v>474</v>
      </c>
      <c r="D402" s="13" t="s">
        <v>272</v>
      </c>
      <c r="E402" s="13" t="s">
        <v>475</v>
      </c>
      <c r="F402" s="12" t="s">
        <v>274</v>
      </c>
      <c r="G402" s="12" t="s">
        <v>276</v>
      </c>
      <c r="H402" s="13" t="s">
        <v>476</v>
      </c>
    </row>
    <row r="403" customFormat="false" ht="60" hidden="false" customHeight="true" outlineLevel="0" collapsed="false">
      <c r="A403" s="12" t="s">
        <v>198</v>
      </c>
      <c r="B403" s="12" t="s">
        <v>477</v>
      </c>
      <c r="C403" s="13" t="s">
        <v>474</v>
      </c>
      <c r="D403" s="13" t="s">
        <v>272</v>
      </c>
      <c r="E403" s="13" t="s">
        <v>475</v>
      </c>
      <c r="F403" s="12" t="s">
        <v>274</v>
      </c>
      <c r="G403" s="12" t="s">
        <v>276</v>
      </c>
      <c r="H403" s="13" t="s">
        <v>478</v>
      </c>
    </row>
    <row r="404" customFormat="false" ht="60" hidden="false" customHeight="true" outlineLevel="0" collapsed="false">
      <c r="A404" s="12" t="s">
        <v>198</v>
      </c>
      <c r="B404" s="12" t="s">
        <v>479</v>
      </c>
      <c r="C404" s="13" t="s">
        <v>474</v>
      </c>
      <c r="D404" s="13" t="s">
        <v>272</v>
      </c>
      <c r="E404" s="13" t="s">
        <v>475</v>
      </c>
      <c r="F404" s="12" t="s">
        <v>274</v>
      </c>
      <c r="G404" s="12" t="s">
        <v>276</v>
      </c>
      <c r="H404" s="13" t="s">
        <v>480</v>
      </c>
    </row>
    <row r="405" customFormat="false" ht="60" hidden="false" customHeight="true" outlineLevel="0" collapsed="false">
      <c r="A405" s="12" t="s">
        <v>198</v>
      </c>
      <c r="B405" s="12" t="s">
        <v>475</v>
      </c>
      <c r="C405" s="13" t="s">
        <v>299</v>
      </c>
      <c r="D405" s="13" t="s">
        <v>472</v>
      </c>
      <c r="E405" s="13" t="s">
        <v>500</v>
      </c>
      <c r="F405" s="12" t="s">
        <v>274</v>
      </c>
      <c r="G405" s="12" t="s">
        <v>276</v>
      </c>
      <c r="H405" s="13" t="s">
        <v>482</v>
      </c>
    </row>
    <row r="406" customFormat="false" ht="60" hidden="false" customHeight="true" outlineLevel="0" collapsed="false">
      <c r="A406" s="12" t="s">
        <v>198</v>
      </c>
      <c r="B406" s="12" t="s">
        <v>500</v>
      </c>
      <c r="C406" s="13" t="s">
        <v>452</v>
      </c>
      <c r="D406" s="13" t="s">
        <v>475</v>
      </c>
      <c r="E406" s="13" t="s">
        <v>483</v>
      </c>
      <c r="F406" s="12" t="s">
        <v>274</v>
      </c>
      <c r="G406" s="12" t="s">
        <v>276</v>
      </c>
      <c r="H406" s="13" t="s">
        <v>501</v>
      </c>
    </row>
    <row r="407" customFormat="false" ht="60" hidden="false" customHeight="true" outlineLevel="0" collapsed="false">
      <c r="A407" s="12" t="s">
        <v>198</v>
      </c>
      <c r="B407" s="12" t="s">
        <v>483</v>
      </c>
      <c r="C407" s="13" t="s">
        <v>281</v>
      </c>
      <c r="D407" s="13" t="s">
        <v>500</v>
      </c>
      <c r="E407" s="13" t="s">
        <v>485</v>
      </c>
      <c r="F407" s="12" t="s">
        <v>274</v>
      </c>
      <c r="G407" s="12" t="s">
        <v>276</v>
      </c>
      <c r="H407" s="13" t="s">
        <v>486</v>
      </c>
    </row>
    <row r="408" customFormat="false" ht="60" hidden="false" customHeight="true" outlineLevel="0" collapsed="false">
      <c r="A408" s="12" t="s">
        <v>198</v>
      </c>
      <c r="B408" s="12" t="s">
        <v>487</v>
      </c>
      <c r="C408" s="13" t="s">
        <v>273</v>
      </c>
      <c r="D408" s="13" t="s">
        <v>483</v>
      </c>
      <c r="E408" s="13" t="s">
        <v>400</v>
      </c>
      <c r="F408" s="12" t="s">
        <v>274</v>
      </c>
      <c r="G408" s="12" t="s">
        <v>276</v>
      </c>
      <c r="H408" s="13" t="s">
        <v>488</v>
      </c>
    </row>
    <row r="409" customFormat="false" ht="60" hidden="false" customHeight="true" outlineLevel="0" collapsed="false">
      <c r="A409" s="12" t="s">
        <v>198</v>
      </c>
      <c r="B409" s="12" t="s">
        <v>489</v>
      </c>
      <c r="C409" s="13" t="s">
        <v>490</v>
      </c>
      <c r="D409" s="13" t="s">
        <v>483</v>
      </c>
      <c r="E409" s="13" t="s">
        <v>491</v>
      </c>
      <c r="F409" s="12" t="s">
        <v>274</v>
      </c>
      <c r="G409" s="12" t="s">
        <v>276</v>
      </c>
      <c r="H409" s="13" t="s">
        <v>492</v>
      </c>
    </row>
    <row r="410" customFormat="false" ht="60" hidden="false" customHeight="true" outlineLevel="0" collapsed="false">
      <c r="A410" s="12" t="s">
        <v>198</v>
      </c>
      <c r="B410" s="12" t="s">
        <v>491</v>
      </c>
      <c r="C410" s="13" t="s">
        <v>373</v>
      </c>
      <c r="D410" s="13" t="s">
        <v>489</v>
      </c>
      <c r="E410" s="13" t="s">
        <v>400</v>
      </c>
      <c r="F410" s="12" t="s">
        <v>274</v>
      </c>
      <c r="G410" s="12" t="s">
        <v>276</v>
      </c>
      <c r="H410" s="13" t="s">
        <v>493</v>
      </c>
    </row>
    <row r="411" customFormat="false" ht="60" hidden="false" customHeight="true" outlineLevel="0" collapsed="false">
      <c r="A411" s="12" t="s">
        <v>198</v>
      </c>
      <c r="B411" s="12" t="s">
        <v>400</v>
      </c>
      <c r="C411" s="13" t="s">
        <v>402</v>
      </c>
      <c r="D411" s="13" t="s">
        <v>494</v>
      </c>
      <c r="E411" s="13" t="s">
        <v>454</v>
      </c>
      <c r="F411" s="12" t="s">
        <v>274</v>
      </c>
      <c r="G411" s="12" t="s">
        <v>302</v>
      </c>
      <c r="H411" s="13" t="s">
        <v>502</v>
      </c>
    </row>
    <row r="412" customFormat="false" ht="60" hidden="false" customHeight="true" outlineLevel="0" collapsed="false">
      <c r="A412" s="12" t="s">
        <v>198</v>
      </c>
      <c r="B412" s="12" t="s">
        <v>454</v>
      </c>
      <c r="C412" s="13" t="s">
        <v>273</v>
      </c>
      <c r="D412" s="13" t="s">
        <v>400</v>
      </c>
      <c r="E412" s="13" t="s">
        <v>310</v>
      </c>
      <c r="F412" s="12" t="s">
        <v>274</v>
      </c>
      <c r="G412" s="12" t="s">
        <v>276</v>
      </c>
      <c r="H412" s="13" t="s">
        <v>496</v>
      </c>
    </row>
    <row r="413" customFormat="false" ht="60" hidden="false" customHeight="true" outlineLevel="0" collapsed="false">
      <c r="A413" s="12" t="s">
        <v>198</v>
      </c>
      <c r="B413" s="12" t="s">
        <v>310</v>
      </c>
      <c r="C413" s="13" t="s">
        <v>273</v>
      </c>
      <c r="D413" s="13" t="s">
        <v>454</v>
      </c>
      <c r="E413" s="13" t="s">
        <v>274</v>
      </c>
      <c r="F413" s="12" t="s">
        <v>274</v>
      </c>
      <c r="G413" s="12" t="s">
        <v>371</v>
      </c>
      <c r="H413" s="13" t="s">
        <v>315</v>
      </c>
    </row>
    <row r="414" customFormat="false" ht="60" hidden="false" customHeight="true" outlineLevel="0" collapsed="false">
      <c r="A414" s="12" t="s">
        <v>201</v>
      </c>
      <c r="B414" s="12" t="s">
        <v>272</v>
      </c>
      <c r="C414" s="13" t="s">
        <v>273</v>
      </c>
      <c r="D414" s="13" t="s">
        <v>274</v>
      </c>
      <c r="E414" s="13" t="s">
        <v>472</v>
      </c>
      <c r="F414" s="12" t="s">
        <v>274</v>
      </c>
      <c r="G414" s="12" t="s">
        <v>276</v>
      </c>
      <c r="H414" s="13" t="s">
        <v>277</v>
      </c>
    </row>
    <row r="415" customFormat="false" ht="60" hidden="false" customHeight="true" outlineLevel="0" collapsed="false">
      <c r="A415" s="12" t="s">
        <v>201</v>
      </c>
      <c r="B415" s="12" t="s">
        <v>473</v>
      </c>
      <c r="C415" s="13" t="s">
        <v>474</v>
      </c>
      <c r="D415" s="13" t="s">
        <v>272</v>
      </c>
      <c r="E415" s="13" t="s">
        <v>475</v>
      </c>
      <c r="F415" s="12" t="s">
        <v>274</v>
      </c>
      <c r="G415" s="12" t="s">
        <v>276</v>
      </c>
      <c r="H415" s="13" t="s">
        <v>476</v>
      </c>
    </row>
    <row r="416" customFormat="false" ht="60" hidden="false" customHeight="true" outlineLevel="0" collapsed="false">
      <c r="A416" s="12" t="s">
        <v>201</v>
      </c>
      <c r="B416" s="12" t="s">
        <v>477</v>
      </c>
      <c r="C416" s="13" t="s">
        <v>474</v>
      </c>
      <c r="D416" s="13" t="s">
        <v>272</v>
      </c>
      <c r="E416" s="13" t="s">
        <v>475</v>
      </c>
      <c r="F416" s="12" t="s">
        <v>274</v>
      </c>
      <c r="G416" s="12" t="s">
        <v>276</v>
      </c>
      <c r="H416" s="13" t="s">
        <v>478</v>
      </c>
    </row>
    <row r="417" customFormat="false" ht="60" hidden="false" customHeight="true" outlineLevel="0" collapsed="false">
      <c r="A417" s="12" t="s">
        <v>201</v>
      </c>
      <c r="B417" s="12" t="s">
        <v>479</v>
      </c>
      <c r="C417" s="13" t="s">
        <v>474</v>
      </c>
      <c r="D417" s="13" t="s">
        <v>272</v>
      </c>
      <c r="E417" s="13" t="s">
        <v>475</v>
      </c>
      <c r="F417" s="12" t="s">
        <v>274</v>
      </c>
      <c r="G417" s="12" t="s">
        <v>276</v>
      </c>
      <c r="H417" s="13" t="s">
        <v>480</v>
      </c>
    </row>
    <row r="418" customFormat="false" ht="60" hidden="false" customHeight="true" outlineLevel="0" collapsed="false">
      <c r="A418" s="12" t="s">
        <v>201</v>
      </c>
      <c r="B418" s="12" t="s">
        <v>475</v>
      </c>
      <c r="C418" s="13" t="s">
        <v>299</v>
      </c>
      <c r="D418" s="13" t="s">
        <v>472</v>
      </c>
      <c r="E418" s="13" t="s">
        <v>503</v>
      </c>
      <c r="F418" s="12" t="s">
        <v>274</v>
      </c>
      <c r="G418" s="12" t="s">
        <v>276</v>
      </c>
      <c r="H418" s="13" t="s">
        <v>482</v>
      </c>
    </row>
    <row r="419" customFormat="false" ht="60" hidden="false" customHeight="true" outlineLevel="0" collapsed="false">
      <c r="A419" s="12" t="s">
        <v>201</v>
      </c>
      <c r="B419" s="12" t="s">
        <v>503</v>
      </c>
      <c r="C419" s="13" t="s">
        <v>452</v>
      </c>
      <c r="D419" s="13" t="s">
        <v>475</v>
      </c>
      <c r="E419" s="13" t="s">
        <v>483</v>
      </c>
      <c r="F419" s="12" t="s">
        <v>274</v>
      </c>
      <c r="G419" s="12" t="s">
        <v>276</v>
      </c>
      <c r="H419" s="13" t="s">
        <v>504</v>
      </c>
    </row>
    <row r="420" customFormat="false" ht="60" hidden="false" customHeight="true" outlineLevel="0" collapsed="false">
      <c r="A420" s="12" t="s">
        <v>201</v>
      </c>
      <c r="B420" s="12" t="s">
        <v>483</v>
      </c>
      <c r="C420" s="13" t="s">
        <v>281</v>
      </c>
      <c r="D420" s="13" t="s">
        <v>503</v>
      </c>
      <c r="E420" s="13" t="s">
        <v>485</v>
      </c>
      <c r="F420" s="12" t="s">
        <v>274</v>
      </c>
      <c r="G420" s="12" t="s">
        <v>276</v>
      </c>
      <c r="H420" s="13" t="s">
        <v>486</v>
      </c>
    </row>
    <row r="421" customFormat="false" ht="60" hidden="false" customHeight="true" outlineLevel="0" collapsed="false">
      <c r="A421" s="12" t="s">
        <v>201</v>
      </c>
      <c r="B421" s="12" t="s">
        <v>487</v>
      </c>
      <c r="C421" s="13" t="s">
        <v>273</v>
      </c>
      <c r="D421" s="13" t="s">
        <v>483</v>
      </c>
      <c r="E421" s="13" t="s">
        <v>400</v>
      </c>
      <c r="F421" s="12" t="s">
        <v>274</v>
      </c>
      <c r="G421" s="12" t="s">
        <v>276</v>
      </c>
      <c r="H421" s="13" t="s">
        <v>488</v>
      </c>
    </row>
    <row r="422" customFormat="false" ht="60" hidden="false" customHeight="true" outlineLevel="0" collapsed="false">
      <c r="A422" s="12" t="s">
        <v>201</v>
      </c>
      <c r="B422" s="12" t="s">
        <v>489</v>
      </c>
      <c r="C422" s="13" t="s">
        <v>490</v>
      </c>
      <c r="D422" s="13" t="s">
        <v>483</v>
      </c>
      <c r="E422" s="13" t="s">
        <v>491</v>
      </c>
      <c r="F422" s="12" t="s">
        <v>274</v>
      </c>
      <c r="G422" s="12" t="s">
        <v>276</v>
      </c>
      <c r="H422" s="13" t="s">
        <v>492</v>
      </c>
    </row>
    <row r="423" customFormat="false" ht="60" hidden="false" customHeight="true" outlineLevel="0" collapsed="false">
      <c r="A423" s="12" t="s">
        <v>201</v>
      </c>
      <c r="B423" s="12" t="s">
        <v>491</v>
      </c>
      <c r="C423" s="13" t="s">
        <v>373</v>
      </c>
      <c r="D423" s="13" t="s">
        <v>489</v>
      </c>
      <c r="E423" s="13" t="s">
        <v>400</v>
      </c>
      <c r="F423" s="12" t="s">
        <v>274</v>
      </c>
      <c r="G423" s="12" t="s">
        <v>276</v>
      </c>
      <c r="H423" s="13" t="s">
        <v>493</v>
      </c>
    </row>
    <row r="424" customFormat="false" ht="60" hidden="false" customHeight="true" outlineLevel="0" collapsed="false">
      <c r="A424" s="12" t="s">
        <v>201</v>
      </c>
      <c r="B424" s="12" t="s">
        <v>400</v>
      </c>
      <c r="C424" s="13" t="s">
        <v>402</v>
      </c>
      <c r="D424" s="13" t="s">
        <v>494</v>
      </c>
      <c r="E424" s="13" t="s">
        <v>454</v>
      </c>
      <c r="F424" s="12" t="s">
        <v>274</v>
      </c>
      <c r="G424" s="12" t="s">
        <v>302</v>
      </c>
      <c r="H424" s="13" t="s">
        <v>505</v>
      </c>
    </row>
    <row r="425" customFormat="false" ht="60" hidden="false" customHeight="true" outlineLevel="0" collapsed="false">
      <c r="A425" s="12" t="s">
        <v>201</v>
      </c>
      <c r="B425" s="12" t="s">
        <v>454</v>
      </c>
      <c r="C425" s="13" t="s">
        <v>273</v>
      </c>
      <c r="D425" s="13" t="s">
        <v>400</v>
      </c>
      <c r="E425" s="13" t="s">
        <v>310</v>
      </c>
      <c r="F425" s="12" t="s">
        <v>274</v>
      </c>
      <c r="G425" s="12" t="s">
        <v>276</v>
      </c>
      <c r="H425" s="13" t="s">
        <v>496</v>
      </c>
    </row>
    <row r="426" customFormat="false" ht="60" hidden="false" customHeight="true" outlineLevel="0" collapsed="false">
      <c r="A426" s="12" t="s">
        <v>201</v>
      </c>
      <c r="B426" s="12" t="s">
        <v>310</v>
      </c>
      <c r="C426" s="13" t="s">
        <v>273</v>
      </c>
      <c r="D426" s="13" t="s">
        <v>454</v>
      </c>
      <c r="E426" s="13" t="s">
        <v>274</v>
      </c>
      <c r="F426" s="12" t="s">
        <v>274</v>
      </c>
      <c r="G426" s="12" t="s">
        <v>371</v>
      </c>
      <c r="H426" s="13" t="s">
        <v>315</v>
      </c>
    </row>
    <row r="427" customFormat="false" ht="60" hidden="false" customHeight="true" outlineLevel="0" collapsed="false">
      <c r="A427" s="12" t="s">
        <v>205</v>
      </c>
      <c r="B427" s="12" t="s">
        <v>272</v>
      </c>
      <c r="C427" s="13" t="s">
        <v>273</v>
      </c>
      <c r="D427" s="13" t="s">
        <v>274</v>
      </c>
      <c r="E427" s="13" t="s">
        <v>472</v>
      </c>
      <c r="F427" s="12" t="s">
        <v>274</v>
      </c>
      <c r="G427" s="12" t="s">
        <v>276</v>
      </c>
      <c r="H427" s="13" t="s">
        <v>277</v>
      </c>
    </row>
    <row r="428" customFormat="false" ht="60" hidden="false" customHeight="true" outlineLevel="0" collapsed="false">
      <c r="A428" s="12" t="s">
        <v>205</v>
      </c>
      <c r="B428" s="12" t="s">
        <v>473</v>
      </c>
      <c r="C428" s="13" t="s">
        <v>474</v>
      </c>
      <c r="D428" s="13" t="s">
        <v>272</v>
      </c>
      <c r="E428" s="13" t="s">
        <v>475</v>
      </c>
      <c r="F428" s="12" t="s">
        <v>274</v>
      </c>
      <c r="G428" s="12" t="s">
        <v>276</v>
      </c>
      <c r="H428" s="13" t="s">
        <v>476</v>
      </c>
    </row>
    <row r="429" customFormat="false" ht="60" hidden="false" customHeight="true" outlineLevel="0" collapsed="false">
      <c r="A429" s="12" t="s">
        <v>205</v>
      </c>
      <c r="B429" s="12" t="s">
        <v>477</v>
      </c>
      <c r="C429" s="13" t="s">
        <v>474</v>
      </c>
      <c r="D429" s="13" t="s">
        <v>272</v>
      </c>
      <c r="E429" s="13" t="s">
        <v>475</v>
      </c>
      <c r="F429" s="12" t="s">
        <v>274</v>
      </c>
      <c r="G429" s="12" t="s">
        <v>276</v>
      </c>
      <c r="H429" s="13" t="s">
        <v>478</v>
      </c>
    </row>
    <row r="430" customFormat="false" ht="60" hidden="false" customHeight="true" outlineLevel="0" collapsed="false">
      <c r="A430" s="12" t="s">
        <v>205</v>
      </c>
      <c r="B430" s="12" t="s">
        <v>479</v>
      </c>
      <c r="C430" s="13" t="s">
        <v>474</v>
      </c>
      <c r="D430" s="13" t="s">
        <v>272</v>
      </c>
      <c r="E430" s="13" t="s">
        <v>475</v>
      </c>
      <c r="F430" s="12" t="s">
        <v>274</v>
      </c>
      <c r="G430" s="12" t="s">
        <v>276</v>
      </c>
      <c r="H430" s="13" t="s">
        <v>480</v>
      </c>
    </row>
    <row r="431" customFormat="false" ht="60" hidden="false" customHeight="true" outlineLevel="0" collapsed="false">
      <c r="A431" s="12" t="s">
        <v>205</v>
      </c>
      <c r="B431" s="12" t="s">
        <v>475</v>
      </c>
      <c r="C431" s="13" t="s">
        <v>299</v>
      </c>
      <c r="D431" s="13" t="s">
        <v>472</v>
      </c>
      <c r="E431" s="13" t="s">
        <v>506</v>
      </c>
      <c r="F431" s="12" t="s">
        <v>274</v>
      </c>
      <c r="G431" s="12" t="s">
        <v>276</v>
      </c>
      <c r="H431" s="13" t="s">
        <v>482</v>
      </c>
    </row>
    <row r="432" customFormat="false" ht="60" hidden="false" customHeight="true" outlineLevel="0" collapsed="false">
      <c r="A432" s="12" t="s">
        <v>205</v>
      </c>
      <c r="B432" s="12" t="s">
        <v>506</v>
      </c>
      <c r="C432" s="13" t="s">
        <v>452</v>
      </c>
      <c r="D432" s="13" t="s">
        <v>475</v>
      </c>
      <c r="E432" s="13" t="s">
        <v>483</v>
      </c>
      <c r="F432" s="12" t="s">
        <v>274</v>
      </c>
      <c r="G432" s="12" t="s">
        <v>276</v>
      </c>
      <c r="H432" s="13" t="s">
        <v>507</v>
      </c>
    </row>
    <row r="433" customFormat="false" ht="60" hidden="false" customHeight="true" outlineLevel="0" collapsed="false">
      <c r="A433" s="12" t="s">
        <v>205</v>
      </c>
      <c r="B433" s="12" t="s">
        <v>483</v>
      </c>
      <c r="C433" s="13" t="s">
        <v>281</v>
      </c>
      <c r="D433" s="13" t="s">
        <v>506</v>
      </c>
      <c r="E433" s="13" t="s">
        <v>485</v>
      </c>
      <c r="F433" s="12" t="s">
        <v>274</v>
      </c>
      <c r="G433" s="12" t="s">
        <v>276</v>
      </c>
      <c r="H433" s="13" t="s">
        <v>486</v>
      </c>
    </row>
    <row r="434" customFormat="false" ht="60" hidden="false" customHeight="true" outlineLevel="0" collapsed="false">
      <c r="A434" s="12" t="s">
        <v>205</v>
      </c>
      <c r="B434" s="12" t="s">
        <v>487</v>
      </c>
      <c r="C434" s="13" t="s">
        <v>273</v>
      </c>
      <c r="D434" s="13" t="s">
        <v>483</v>
      </c>
      <c r="E434" s="13" t="s">
        <v>400</v>
      </c>
      <c r="F434" s="12" t="s">
        <v>274</v>
      </c>
      <c r="G434" s="12" t="s">
        <v>276</v>
      </c>
      <c r="H434" s="13" t="s">
        <v>488</v>
      </c>
    </row>
    <row r="435" customFormat="false" ht="60" hidden="false" customHeight="true" outlineLevel="0" collapsed="false">
      <c r="A435" s="12" t="s">
        <v>205</v>
      </c>
      <c r="B435" s="12" t="s">
        <v>489</v>
      </c>
      <c r="C435" s="13" t="s">
        <v>490</v>
      </c>
      <c r="D435" s="13" t="s">
        <v>483</v>
      </c>
      <c r="E435" s="13" t="s">
        <v>491</v>
      </c>
      <c r="F435" s="12" t="s">
        <v>274</v>
      </c>
      <c r="G435" s="12" t="s">
        <v>276</v>
      </c>
      <c r="H435" s="13" t="s">
        <v>492</v>
      </c>
    </row>
    <row r="436" customFormat="false" ht="60" hidden="false" customHeight="true" outlineLevel="0" collapsed="false">
      <c r="A436" s="12" t="s">
        <v>205</v>
      </c>
      <c r="B436" s="12" t="s">
        <v>491</v>
      </c>
      <c r="C436" s="13" t="s">
        <v>373</v>
      </c>
      <c r="D436" s="13" t="s">
        <v>489</v>
      </c>
      <c r="E436" s="13" t="s">
        <v>400</v>
      </c>
      <c r="F436" s="12" t="s">
        <v>274</v>
      </c>
      <c r="G436" s="12" t="s">
        <v>276</v>
      </c>
      <c r="H436" s="13" t="s">
        <v>493</v>
      </c>
    </row>
    <row r="437" customFormat="false" ht="60" hidden="false" customHeight="true" outlineLevel="0" collapsed="false">
      <c r="A437" s="12" t="s">
        <v>205</v>
      </c>
      <c r="B437" s="12" t="s">
        <v>400</v>
      </c>
      <c r="C437" s="13" t="s">
        <v>402</v>
      </c>
      <c r="D437" s="13" t="s">
        <v>494</v>
      </c>
      <c r="E437" s="13" t="s">
        <v>454</v>
      </c>
      <c r="F437" s="12" t="s">
        <v>274</v>
      </c>
      <c r="G437" s="12" t="s">
        <v>302</v>
      </c>
      <c r="H437" s="13" t="s">
        <v>508</v>
      </c>
    </row>
    <row r="438" customFormat="false" ht="60" hidden="false" customHeight="true" outlineLevel="0" collapsed="false">
      <c r="A438" s="12" t="s">
        <v>205</v>
      </c>
      <c r="B438" s="12" t="s">
        <v>454</v>
      </c>
      <c r="C438" s="13" t="s">
        <v>273</v>
      </c>
      <c r="D438" s="13" t="s">
        <v>400</v>
      </c>
      <c r="E438" s="13" t="s">
        <v>310</v>
      </c>
      <c r="F438" s="12" t="s">
        <v>274</v>
      </c>
      <c r="G438" s="12" t="s">
        <v>276</v>
      </c>
      <c r="H438" s="13" t="s">
        <v>496</v>
      </c>
    </row>
    <row r="439" customFormat="false" ht="60" hidden="false" customHeight="true" outlineLevel="0" collapsed="false">
      <c r="A439" s="12" t="s">
        <v>205</v>
      </c>
      <c r="B439" s="12" t="s">
        <v>310</v>
      </c>
      <c r="C439" s="13" t="s">
        <v>273</v>
      </c>
      <c r="D439" s="13" t="s">
        <v>454</v>
      </c>
      <c r="E439" s="13" t="s">
        <v>274</v>
      </c>
      <c r="F439" s="12" t="s">
        <v>274</v>
      </c>
      <c r="G439" s="12" t="s">
        <v>371</v>
      </c>
      <c r="H439" s="13" t="s">
        <v>315</v>
      </c>
    </row>
    <row r="440" customFormat="false" ht="60" hidden="false" customHeight="true" outlineLevel="0" collapsed="false">
      <c r="A440" s="12" t="s">
        <v>208</v>
      </c>
      <c r="B440" s="12" t="s">
        <v>272</v>
      </c>
      <c r="C440" s="13" t="s">
        <v>273</v>
      </c>
      <c r="D440" s="13" t="s">
        <v>274</v>
      </c>
      <c r="E440" s="13" t="s">
        <v>472</v>
      </c>
      <c r="F440" s="12" t="s">
        <v>274</v>
      </c>
      <c r="G440" s="12" t="s">
        <v>276</v>
      </c>
      <c r="H440" s="13" t="s">
        <v>277</v>
      </c>
    </row>
    <row r="441" customFormat="false" ht="60" hidden="false" customHeight="true" outlineLevel="0" collapsed="false">
      <c r="A441" s="12" t="s">
        <v>208</v>
      </c>
      <c r="B441" s="12" t="s">
        <v>473</v>
      </c>
      <c r="C441" s="13" t="s">
        <v>474</v>
      </c>
      <c r="D441" s="13" t="s">
        <v>272</v>
      </c>
      <c r="E441" s="13" t="s">
        <v>475</v>
      </c>
      <c r="F441" s="12" t="s">
        <v>274</v>
      </c>
      <c r="G441" s="12" t="s">
        <v>276</v>
      </c>
      <c r="H441" s="13" t="s">
        <v>476</v>
      </c>
    </row>
    <row r="442" customFormat="false" ht="60" hidden="false" customHeight="true" outlineLevel="0" collapsed="false">
      <c r="A442" s="12" t="s">
        <v>208</v>
      </c>
      <c r="B442" s="12" t="s">
        <v>477</v>
      </c>
      <c r="C442" s="13" t="s">
        <v>474</v>
      </c>
      <c r="D442" s="13" t="s">
        <v>272</v>
      </c>
      <c r="E442" s="13" t="s">
        <v>475</v>
      </c>
      <c r="F442" s="12" t="s">
        <v>274</v>
      </c>
      <c r="G442" s="12" t="s">
        <v>276</v>
      </c>
      <c r="H442" s="13" t="s">
        <v>478</v>
      </c>
    </row>
    <row r="443" customFormat="false" ht="60" hidden="false" customHeight="true" outlineLevel="0" collapsed="false">
      <c r="A443" s="12" t="s">
        <v>208</v>
      </c>
      <c r="B443" s="12" t="s">
        <v>479</v>
      </c>
      <c r="C443" s="13" t="s">
        <v>474</v>
      </c>
      <c r="D443" s="13" t="s">
        <v>272</v>
      </c>
      <c r="E443" s="13" t="s">
        <v>475</v>
      </c>
      <c r="F443" s="12" t="s">
        <v>274</v>
      </c>
      <c r="G443" s="12" t="s">
        <v>276</v>
      </c>
      <c r="H443" s="13" t="s">
        <v>480</v>
      </c>
    </row>
    <row r="444" customFormat="false" ht="60" hidden="false" customHeight="true" outlineLevel="0" collapsed="false">
      <c r="A444" s="12" t="s">
        <v>208</v>
      </c>
      <c r="B444" s="12" t="s">
        <v>475</v>
      </c>
      <c r="C444" s="13" t="s">
        <v>299</v>
      </c>
      <c r="D444" s="13" t="s">
        <v>472</v>
      </c>
      <c r="E444" s="13" t="s">
        <v>509</v>
      </c>
      <c r="F444" s="12" t="s">
        <v>274</v>
      </c>
      <c r="G444" s="12" t="s">
        <v>276</v>
      </c>
      <c r="H444" s="13" t="s">
        <v>482</v>
      </c>
    </row>
    <row r="445" customFormat="false" ht="60" hidden="false" customHeight="true" outlineLevel="0" collapsed="false">
      <c r="A445" s="12" t="s">
        <v>208</v>
      </c>
      <c r="B445" s="12" t="s">
        <v>509</v>
      </c>
      <c r="C445" s="13" t="s">
        <v>452</v>
      </c>
      <c r="D445" s="13" t="s">
        <v>475</v>
      </c>
      <c r="E445" s="13" t="s">
        <v>483</v>
      </c>
      <c r="F445" s="12" t="s">
        <v>274</v>
      </c>
      <c r="G445" s="12" t="s">
        <v>276</v>
      </c>
      <c r="H445" s="13" t="s">
        <v>510</v>
      </c>
    </row>
    <row r="446" customFormat="false" ht="60" hidden="false" customHeight="true" outlineLevel="0" collapsed="false">
      <c r="A446" s="12" t="s">
        <v>208</v>
      </c>
      <c r="B446" s="12" t="s">
        <v>483</v>
      </c>
      <c r="C446" s="13" t="s">
        <v>281</v>
      </c>
      <c r="D446" s="13" t="s">
        <v>509</v>
      </c>
      <c r="E446" s="13" t="s">
        <v>485</v>
      </c>
      <c r="F446" s="12" t="s">
        <v>274</v>
      </c>
      <c r="G446" s="12" t="s">
        <v>276</v>
      </c>
      <c r="H446" s="13" t="s">
        <v>486</v>
      </c>
    </row>
    <row r="447" customFormat="false" ht="60" hidden="false" customHeight="true" outlineLevel="0" collapsed="false">
      <c r="A447" s="12" t="s">
        <v>208</v>
      </c>
      <c r="B447" s="12" t="s">
        <v>487</v>
      </c>
      <c r="C447" s="13" t="s">
        <v>273</v>
      </c>
      <c r="D447" s="13" t="s">
        <v>483</v>
      </c>
      <c r="E447" s="13" t="s">
        <v>400</v>
      </c>
      <c r="F447" s="12" t="s">
        <v>274</v>
      </c>
      <c r="G447" s="12" t="s">
        <v>276</v>
      </c>
      <c r="H447" s="13" t="s">
        <v>488</v>
      </c>
    </row>
    <row r="448" customFormat="false" ht="60" hidden="false" customHeight="true" outlineLevel="0" collapsed="false">
      <c r="A448" s="12" t="s">
        <v>208</v>
      </c>
      <c r="B448" s="12" t="s">
        <v>489</v>
      </c>
      <c r="C448" s="13" t="s">
        <v>490</v>
      </c>
      <c r="D448" s="13" t="s">
        <v>483</v>
      </c>
      <c r="E448" s="13" t="s">
        <v>491</v>
      </c>
      <c r="F448" s="12" t="s">
        <v>274</v>
      </c>
      <c r="G448" s="12" t="s">
        <v>276</v>
      </c>
      <c r="H448" s="13" t="s">
        <v>492</v>
      </c>
    </row>
    <row r="449" customFormat="false" ht="60" hidden="false" customHeight="true" outlineLevel="0" collapsed="false">
      <c r="A449" s="12" t="s">
        <v>208</v>
      </c>
      <c r="B449" s="12" t="s">
        <v>491</v>
      </c>
      <c r="C449" s="13" t="s">
        <v>373</v>
      </c>
      <c r="D449" s="13" t="s">
        <v>489</v>
      </c>
      <c r="E449" s="13" t="s">
        <v>400</v>
      </c>
      <c r="F449" s="12" t="s">
        <v>274</v>
      </c>
      <c r="G449" s="12" t="s">
        <v>276</v>
      </c>
      <c r="H449" s="13" t="s">
        <v>493</v>
      </c>
    </row>
    <row r="450" customFormat="false" ht="60" hidden="false" customHeight="true" outlineLevel="0" collapsed="false">
      <c r="A450" s="12" t="s">
        <v>208</v>
      </c>
      <c r="B450" s="12" t="s">
        <v>400</v>
      </c>
      <c r="C450" s="13" t="s">
        <v>402</v>
      </c>
      <c r="D450" s="13" t="s">
        <v>494</v>
      </c>
      <c r="E450" s="13" t="s">
        <v>454</v>
      </c>
      <c r="F450" s="12" t="s">
        <v>274</v>
      </c>
      <c r="G450" s="12" t="s">
        <v>302</v>
      </c>
      <c r="H450" s="13" t="s">
        <v>511</v>
      </c>
    </row>
    <row r="451" customFormat="false" ht="60" hidden="false" customHeight="true" outlineLevel="0" collapsed="false">
      <c r="A451" s="12" t="s">
        <v>208</v>
      </c>
      <c r="B451" s="12" t="s">
        <v>454</v>
      </c>
      <c r="C451" s="13" t="s">
        <v>273</v>
      </c>
      <c r="D451" s="13" t="s">
        <v>400</v>
      </c>
      <c r="E451" s="13" t="s">
        <v>310</v>
      </c>
      <c r="F451" s="12" t="s">
        <v>274</v>
      </c>
      <c r="G451" s="12" t="s">
        <v>276</v>
      </c>
      <c r="H451" s="13" t="s">
        <v>496</v>
      </c>
    </row>
    <row r="452" customFormat="false" ht="60" hidden="false" customHeight="true" outlineLevel="0" collapsed="false">
      <c r="A452" s="12" t="s">
        <v>208</v>
      </c>
      <c r="B452" s="12" t="s">
        <v>310</v>
      </c>
      <c r="C452" s="13" t="s">
        <v>273</v>
      </c>
      <c r="D452" s="13" t="s">
        <v>454</v>
      </c>
      <c r="E452" s="13" t="s">
        <v>274</v>
      </c>
      <c r="F452" s="12" t="s">
        <v>274</v>
      </c>
      <c r="G452" s="12" t="s">
        <v>371</v>
      </c>
      <c r="H452" s="13" t="s">
        <v>315</v>
      </c>
    </row>
    <row r="453" customFormat="false" ht="60" hidden="false" customHeight="true" outlineLevel="0" collapsed="false">
      <c r="A453" s="12" t="s">
        <v>211</v>
      </c>
      <c r="B453" s="12" t="s">
        <v>272</v>
      </c>
      <c r="C453" s="13" t="s">
        <v>273</v>
      </c>
      <c r="D453" s="13" t="s">
        <v>274</v>
      </c>
      <c r="E453" s="13" t="s">
        <v>472</v>
      </c>
      <c r="F453" s="12" t="s">
        <v>274</v>
      </c>
      <c r="G453" s="12" t="s">
        <v>276</v>
      </c>
      <c r="H453" s="13" t="s">
        <v>277</v>
      </c>
    </row>
    <row r="454" customFormat="false" ht="60" hidden="false" customHeight="true" outlineLevel="0" collapsed="false">
      <c r="A454" s="12" t="s">
        <v>211</v>
      </c>
      <c r="B454" s="12" t="s">
        <v>473</v>
      </c>
      <c r="C454" s="13" t="s">
        <v>474</v>
      </c>
      <c r="D454" s="13" t="s">
        <v>272</v>
      </c>
      <c r="E454" s="13" t="s">
        <v>475</v>
      </c>
      <c r="F454" s="12" t="s">
        <v>274</v>
      </c>
      <c r="G454" s="12" t="s">
        <v>276</v>
      </c>
      <c r="H454" s="13" t="s">
        <v>476</v>
      </c>
    </row>
    <row r="455" customFormat="false" ht="60" hidden="false" customHeight="true" outlineLevel="0" collapsed="false">
      <c r="A455" s="12" t="s">
        <v>211</v>
      </c>
      <c r="B455" s="12" t="s">
        <v>477</v>
      </c>
      <c r="C455" s="13" t="s">
        <v>474</v>
      </c>
      <c r="D455" s="13" t="s">
        <v>272</v>
      </c>
      <c r="E455" s="13" t="s">
        <v>475</v>
      </c>
      <c r="F455" s="12" t="s">
        <v>274</v>
      </c>
      <c r="G455" s="12" t="s">
        <v>276</v>
      </c>
      <c r="H455" s="13" t="s">
        <v>478</v>
      </c>
    </row>
    <row r="456" customFormat="false" ht="60" hidden="false" customHeight="true" outlineLevel="0" collapsed="false">
      <c r="A456" s="12" t="s">
        <v>211</v>
      </c>
      <c r="B456" s="12" t="s">
        <v>479</v>
      </c>
      <c r="C456" s="13" t="s">
        <v>474</v>
      </c>
      <c r="D456" s="13" t="s">
        <v>272</v>
      </c>
      <c r="E456" s="13" t="s">
        <v>475</v>
      </c>
      <c r="F456" s="12" t="s">
        <v>274</v>
      </c>
      <c r="G456" s="12" t="s">
        <v>276</v>
      </c>
      <c r="H456" s="13" t="s">
        <v>480</v>
      </c>
    </row>
    <row r="457" customFormat="false" ht="60" hidden="false" customHeight="true" outlineLevel="0" collapsed="false">
      <c r="A457" s="12" t="s">
        <v>211</v>
      </c>
      <c r="B457" s="12" t="s">
        <v>475</v>
      </c>
      <c r="C457" s="13" t="s">
        <v>299</v>
      </c>
      <c r="D457" s="13" t="s">
        <v>472</v>
      </c>
      <c r="E457" s="13" t="s">
        <v>512</v>
      </c>
      <c r="F457" s="12" t="s">
        <v>274</v>
      </c>
      <c r="G457" s="12" t="s">
        <v>276</v>
      </c>
      <c r="H457" s="13" t="s">
        <v>482</v>
      </c>
    </row>
    <row r="458" customFormat="false" ht="60" hidden="false" customHeight="true" outlineLevel="0" collapsed="false">
      <c r="A458" s="12" t="s">
        <v>211</v>
      </c>
      <c r="B458" s="12" t="s">
        <v>512</v>
      </c>
      <c r="C458" s="13" t="s">
        <v>452</v>
      </c>
      <c r="D458" s="13" t="s">
        <v>475</v>
      </c>
      <c r="E458" s="13" t="s">
        <v>483</v>
      </c>
      <c r="F458" s="12" t="s">
        <v>274</v>
      </c>
      <c r="G458" s="12" t="s">
        <v>276</v>
      </c>
      <c r="H458" s="13" t="s">
        <v>513</v>
      </c>
    </row>
    <row r="459" customFormat="false" ht="60" hidden="false" customHeight="true" outlineLevel="0" collapsed="false">
      <c r="A459" s="12" t="s">
        <v>211</v>
      </c>
      <c r="B459" s="12" t="s">
        <v>483</v>
      </c>
      <c r="C459" s="13" t="s">
        <v>281</v>
      </c>
      <c r="D459" s="13" t="s">
        <v>512</v>
      </c>
      <c r="E459" s="13" t="s">
        <v>485</v>
      </c>
      <c r="F459" s="12" t="s">
        <v>274</v>
      </c>
      <c r="G459" s="12" t="s">
        <v>276</v>
      </c>
      <c r="H459" s="13" t="s">
        <v>486</v>
      </c>
    </row>
    <row r="460" customFormat="false" ht="60" hidden="false" customHeight="true" outlineLevel="0" collapsed="false">
      <c r="A460" s="12" t="s">
        <v>211</v>
      </c>
      <c r="B460" s="12" t="s">
        <v>487</v>
      </c>
      <c r="C460" s="13" t="s">
        <v>273</v>
      </c>
      <c r="D460" s="13" t="s">
        <v>483</v>
      </c>
      <c r="E460" s="13" t="s">
        <v>400</v>
      </c>
      <c r="F460" s="12" t="s">
        <v>274</v>
      </c>
      <c r="G460" s="12" t="s">
        <v>276</v>
      </c>
      <c r="H460" s="13" t="s">
        <v>488</v>
      </c>
    </row>
    <row r="461" customFormat="false" ht="60" hidden="false" customHeight="true" outlineLevel="0" collapsed="false">
      <c r="A461" s="12" t="s">
        <v>211</v>
      </c>
      <c r="B461" s="12" t="s">
        <v>489</v>
      </c>
      <c r="C461" s="13" t="s">
        <v>490</v>
      </c>
      <c r="D461" s="13" t="s">
        <v>483</v>
      </c>
      <c r="E461" s="13" t="s">
        <v>491</v>
      </c>
      <c r="F461" s="12" t="s">
        <v>274</v>
      </c>
      <c r="G461" s="12" t="s">
        <v>276</v>
      </c>
      <c r="H461" s="13" t="s">
        <v>492</v>
      </c>
    </row>
    <row r="462" customFormat="false" ht="60" hidden="false" customHeight="true" outlineLevel="0" collapsed="false">
      <c r="A462" s="12" t="s">
        <v>211</v>
      </c>
      <c r="B462" s="12" t="s">
        <v>491</v>
      </c>
      <c r="C462" s="13" t="s">
        <v>373</v>
      </c>
      <c r="D462" s="13" t="s">
        <v>489</v>
      </c>
      <c r="E462" s="13" t="s">
        <v>400</v>
      </c>
      <c r="F462" s="12" t="s">
        <v>274</v>
      </c>
      <c r="G462" s="12" t="s">
        <v>276</v>
      </c>
      <c r="H462" s="13" t="s">
        <v>493</v>
      </c>
    </row>
    <row r="463" customFormat="false" ht="60" hidden="false" customHeight="true" outlineLevel="0" collapsed="false">
      <c r="A463" s="12" t="s">
        <v>211</v>
      </c>
      <c r="B463" s="12" t="s">
        <v>400</v>
      </c>
      <c r="C463" s="13" t="s">
        <v>402</v>
      </c>
      <c r="D463" s="13" t="s">
        <v>494</v>
      </c>
      <c r="E463" s="13" t="s">
        <v>454</v>
      </c>
      <c r="F463" s="12" t="s">
        <v>274</v>
      </c>
      <c r="G463" s="12" t="s">
        <v>302</v>
      </c>
      <c r="H463" s="13" t="s">
        <v>514</v>
      </c>
    </row>
    <row r="464" customFormat="false" ht="60" hidden="false" customHeight="true" outlineLevel="0" collapsed="false">
      <c r="A464" s="12" t="s">
        <v>211</v>
      </c>
      <c r="B464" s="12" t="s">
        <v>454</v>
      </c>
      <c r="C464" s="13" t="s">
        <v>273</v>
      </c>
      <c r="D464" s="13" t="s">
        <v>400</v>
      </c>
      <c r="E464" s="13" t="s">
        <v>310</v>
      </c>
      <c r="F464" s="12" t="s">
        <v>274</v>
      </c>
      <c r="G464" s="12" t="s">
        <v>276</v>
      </c>
      <c r="H464" s="13" t="s">
        <v>496</v>
      </c>
    </row>
    <row r="465" customFormat="false" ht="60" hidden="false" customHeight="true" outlineLevel="0" collapsed="false">
      <c r="A465" s="12" t="s">
        <v>211</v>
      </c>
      <c r="B465" s="12" t="s">
        <v>310</v>
      </c>
      <c r="C465" s="13" t="s">
        <v>273</v>
      </c>
      <c r="D465" s="13" t="s">
        <v>454</v>
      </c>
      <c r="E465" s="13" t="s">
        <v>274</v>
      </c>
      <c r="F465" s="12" t="s">
        <v>274</v>
      </c>
      <c r="G465" s="12" t="s">
        <v>371</v>
      </c>
      <c r="H465" s="13" t="s">
        <v>315</v>
      </c>
    </row>
    <row r="466" customFormat="false" ht="60" hidden="false" customHeight="true" outlineLevel="0" collapsed="false">
      <c r="A466" s="12" t="s">
        <v>213</v>
      </c>
      <c r="B466" s="12" t="s">
        <v>272</v>
      </c>
      <c r="C466" s="13" t="s">
        <v>273</v>
      </c>
      <c r="D466" s="13" t="s">
        <v>274</v>
      </c>
      <c r="E466" s="13" t="s">
        <v>515</v>
      </c>
      <c r="F466" s="12" t="s">
        <v>274</v>
      </c>
      <c r="G466" s="12" t="s">
        <v>276</v>
      </c>
      <c r="H466" s="13" t="s">
        <v>277</v>
      </c>
    </row>
    <row r="467" customFormat="false" ht="60" hidden="false" customHeight="true" outlineLevel="0" collapsed="false">
      <c r="A467" s="12" t="s">
        <v>213</v>
      </c>
      <c r="B467" s="12" t="s">
        <v>515</v>
      </c>
      <c r="C467" s="13" t="s">
        <v>359</v>
      </c>
      <c r="D467" s="13" t="s">
        <v>272</v>
      </c>
      <c r="E467" s="13" t="s">
        <v>516</v>
      </c>
      <c r="F467" s="12" t="s">
        <v>274</v>
      </c>
      <c r="G467" s="12" t="s">
        <v>276</v>
      </c>
      <c r="H467" s="13" t="s">
        <v>517</v>
      </c>
    </row>
    <row r="468" customFormat="false" ht="60" hidden="false" customHeight="true" outlineLevel="0" collapsed="false">
      <c r="A468" s="12" t="s">
        <v>213</v>
      </c>
      <c r="B468" s="12" t="s">
        <v>516</v>
      </c>
      <c r="C468" s="13" t="s">
        <v>518</v>
      </c>
      <c r="D468" s="13" t="s">
        <v>515</v>
      </c>
      <c r="E468" s="13" t="s">
        <v>519</v>
      </c>
      <c r="F468" s="12" t="s">
        <v>520</v>
      </c>
      <c r="G468" s="12" t="s">
        <v>371</v>
      </c>
      <c r="H468" s="13" t="s">
        <v>521</v>
      </c>
    </row>
    <row r="469" customFormat="false" ht="60" hidden="false" customHeight="true" outlineLevel="0" collapsed="false">
      <c r="A469" s="12" t="s">
        <v>213</v>
      </c>
      <c r="B469" s="12" t="s">
        <v>519</v>
      </c>
      <c r="C469" s="13" t="s">
        <v>522</v>
      </c>
      <c r="D469" s="13" t="s">
        <v>516</v>
      </c>
      <c r="E469" s="13" t="s">
        <v>523</v>
      </c>
      <c r="F469" s="12" t="s">
        <v>274</v>
      </c>
      <c r="G469" s="12" t="s">
        <v>371</v>
      </c>
      <c r="H469" s="13" t="s">
        <v>524</v>
      </c>
    </row>
    <row r="470" customFormat="false" ht="60" hidden="false" customHeight="true" outlineLevel="0" collapsed="false">
      <c r="A470" s="12" t="s">
        <v>213</v>
      </c>
      <c r="B470" s="12" t="s">
        <v>523</v>
      </c>
      <c r="C470" s="13" t="s">
        <v>281</v>
      </c>
      <c r="D470" s="13" t="s">
        <v>519</v>
      </c>
      <c r="E470" s="13" t="s">
        <v>525</v>
      </c>
      <c r="F470" s="12" t="s">
        <v>274</v>
      </c>
      <c r="G470" s="12" t="s">
        <v>276</v>
      </c>
      <c r="H470" s="13" t="s">
        <v>526</v>
      </c>
    </row>
    <row r="471" customFormat="false" ht="60" hidden="false" customHeight="true" outlineLevel="0" collapsed="false">
      <c r="A471" s="12" t="s">
        <v>213</v>
      </c>
      <c r="B471" s="12" t="s">
        <v>527</v>
      </c>
      <c r="C471" s="13" t="s">
        <v>273</v>
      </c>
      <c r="D471" s="13" t="s">
        <v>523</v>
      </c>
      <c r="E471" s="13" t="s">
        <v>400</v>
      </c>
      <c r="F471" s="12" t="s">
        <v>274</v>
      </c>
      <c r="G471" s="12" t="s">
        <v>276</v>
      </c>
      <c r="H471" s="13" t="s">
        <v>528</v>
      </c>
    </row>
    <row r="472" customFormat="false" ht="60" hidden="false" customHeight="true" outlineLevel="0" collapsed="false">
      <c r="A472" s="12" t="s">
        <v>213</v>
      </c>
      <c r="B472" s="12" t="s">
        <v>529</v>
      </c>
      <c r="C472" s="13" t="s">
        <v>530</v>
      </c>
      <c r="D472" s="13" t="s">
        <v>523</v>
      </c>
      <c r="E472" s="13" t="s">
        <v>531</v>
      </c>
      <c r="F472" s="12" t="s">
        <v>274</v>
      </c>
      <c r="G472" s="12" t="s">
        <v>276</v>
      </c>
      <c r="H472" s="13" t="s">
        <v>532</v>
      </c>
    </row>
    <row r="473" customFormat="false" ht="60" hidden="false" customHeight="true" outlineLevel="0" collapsed="false">
      <c r="A473" s="12" t="s">
        <v>213</v>
      </c>
      <c r="B473" s="12" t="s">
        <v>531</v>
      </c>
      <c r="C473" s="13" t="s">
        <v>533</v>
      </c>
      <c r="D473" s="13" t="s">
        <v>529</v>
      </c>
      <c r="E473" s="13" t="s">
        <v>454</v>
      </c>
      <c r="F473" s="12" t="s">
        <v>274</v>
      </c>
      <c r="G473" s="12" t="s">
        <v>276</v>
      </c>
      <c r="H473" s="13" t="s">
        <v>534</v>
      </c>
    </row>
    <row r="474" customFormat="false" ht="60" hidden="false" customHeight="true" outlineLevel="0" collapsed="false">
      <c r="A474" s="12" t="s">
        <v>213</v>
      </c>
      <c r="B474" s="12" t="s">
        <v>400</v>
      </c>
      <c r="C474" s="13" t="s">
        <v>402</v>
      </c>
      <c r="D474" s="13" t="s">
        <v>527</v>
      </c>
      <c r="E474" s="13" t="s">
        <v>454</v>
      </c>
      <c r="F474" s="12" t="s">
        <v>274</v>
      </c>
      <c r="G474" s="12" t="s">
        <v>276</v>
      </c>
      <c r="H474" s="13" t="s">
        <v>535</v>
      </c>
    </row>
    <row r="475" customFormat="false" ht="60" hidden="false" customHeight="true" outlineLevel="0" collapsed="false">
      <c r="A475" s="12" t="s">
        <v>213</v>
      </c>
      <c r="B475" s="12" t="s">
        <v>454</v>
      </c>
      <c r="C475" s="13" t="s">
        <v>273</v>
      </c>
      <c r="D475" s="13" t="s">
        <v>536</v>
      </c>
      <c r="E475" s="13" t="s">
        <v>310</v>
      </c>
      <c r="F475" s="12" t="s">
        <v>274</v>
      </c>
      <c r="G475" s="12" t="s">
        <v>302</v>
      </c>
      <c r="H475" s="13" t="s">
        <v>537</v>
      </c>
    </row>
    <row r="476" customFormat="false" ht="60" hidden="false" customHeight="true" outlineLevel="0" collapsed="false">
      <c r="A476" s="12" t="s">
        <v>213</v>
      </c>
      <c r="B476" s="12" t="s">
        <v>310</v>
      </c>
      <c r="C476" s="13" t="s">
        <v>273</v>
      </c>
      <c r="D476" s="13" t="s">
        <v>454</v>
      </c>
      <c r="E476" s="13" t="s">
        <v>274</v>
      </c>
      <c r="F476" s="12" t="s">
        <v>274</v>
      </c>
      <c r="G476" s="12" t="s">
        <v>371</v>
      </c>
      <c r="H476" s="13" t="s">
        <v>315</v>
      </c>
    </row>
    <row r="477" customFormat="false" ht="60" hidden="false" customHeight="true" outlineLevel="0" collapsed="false">
      <c r="A477" s="12" t="s">
        <v>215</v>
      </c>
      <c r="B477" s="12" t="s">
        <v>272</v>
      </c>
      <c r="C477" s="13" t="s">
        <v>273</v>
      </c>
      <c r="D477" s="13" t="s">
        <v>274</v>
      </c>
      <c r="E477" s="13" t="s">
        <v>515</v>
      </c>
      <c r="F477" s="12" t="s">
        <v>274</v>
      </c>
      <c r="G477" s="12" t="s">
        <v>276</v>
      </c>
      <c r="H477" s="13" t="s">
        <v>277</v>
      </c>
    </row>
    <row r="478" customFormat="false" ht="60" hidden="false" customHeight="true" outlineLevel="0" collapsed="false">
      <c r="A478" s="12" t="s">
        <v>215</v>
      </c>
      <c r="B478" s="12" t="s">
        <v>515</v>
      </c>
      <c r="C478" s="13" t="s">
        <v>359</v>
      </c>
      <c r="D478" s="13" t="s">
        <v>272</v>
      </c>
      <c r="E478" s="13" t="s">
        <v>516</v>
      </c>
      <c r="F478" s="12" t="s">
        <v>274</v>
      </c>
      <c r="G478" s="12" t="s">
        <v>276</v>
      </c>
      <c r="H478" s="13" t="s">
        <v>538</v>
      </c>
    </row>
    <row r="479" customFormat="false" ht="60" hidden="false" customHeight="true" outlineLevel="0" collapsed="false">
      <c r="A479" s="12" t="s">
        <v>215</v>
      </c>
      <c r="B479" s="12" t="s">
        <v>516</v>
      </c>
      <c r="C479" s="13" t="s">
        <v>518</v>
      </c>
      <c r="D479" s="13" t="s">
        <v>515</v>
      </c>
      <c r="E479" s="13" t="s">
        <v>519</v>
      </c>
      <c r="F479" s="12" t="s">
        <v>520</v>
      </c>
      <c r="G479" s="12" t="s">
        <v>371</v>
      </c>
      <c r="H479" s="13" t="s">
        <v>521</v>
      </c>
    </row>
    <row r="480" customFormat="false" ht="60" hidden="false" customHeight="true" outlineLevel="0" collapsed="false">
      <c r="A480" s="12" t="s">
        <v>215</v>
      </c>
      <c r="B480" s="12" t="s">
        <v>519</v>
      </c>
      <c r="C480" s="13" t="s">
        <v>522</v>
      </c>
      <c r="D480" s="13" t="s">
        <v>516</v>
      </c>
      <c r="E480" s="13" t="s">
        <v>523</v>
      </c>
      <c r="F480" s="12" t="s">
        <v>274</v>
      </c>
      <c r="G480" s="12" t="s">
        <v>371</v>
      </c>
      <c r="H480" s="13" t="s">
        <v>524</v>
      </c>
    </row>
    <row r="481" customFormat="false" ht="60" hidden="false" customHeight="true" outlineLevel="0" collapsed="false">
      <c r="A481" s="12" t="s">
        <v>215</v>
      </c>
      <c r="B481" s="12" t="s">
        <v>523</v>
      </c>
      <c r="C481" s="13" t="s">
        <v>281</v>
      </c>
      <c r="D481" s="13" t="s">
        <v>519</v>
      </c>
      <c r="E481" s="13" t="s">
        <v>525</v>
      </c>
      <c r="F481" s="12" t="s">
        <v>274</v>
      </c>
      <c r="G481" s="12" t="s">
        <v>276</v>
      </c>
      <c r="H481" s="13" t="s">
        <v>526</v>
      </c>
    </row>
    <row r="482" customFormat="false" ht="60" hidden="false" customHeight="true" outlineLevel="0" collapsed="false">
      <c r="A482" s="12" t="s">
        <v>215</v>
      </c>
      <c r="B482" s="12" t="s">
        <v>527</v>
      </c>
      <c r="C482" s="13" t="s">
        <v>273</v>
      </c>
      <c r="D482" s="13" t="s">
        <v>523</v>
      </c>
      <c r="E482" s="13" t="s">
        <v>400</v>
      </c>
      <c r="F482" s="12" t="s">
        <v>274</v>
      </c>
      <c r="G482" s="12" t="s">
        <v>276</v>
      </c>
      <c r="H482" s="13" t="s">
        <v>528</v>
      </c>
    </row>
    <row r="483" customFormat="false" ht="60" hidden="false" customHeight="true" outlineLevel="0" collapsed="false">
      <c r="A483" s="12" t="s">
        <v>215</v>
      </c>
      <c r="B483" s="12" t="s">
        <v>529</v>
      </c>
      <c r="C483" s="13" t="s">
        <v>530</v>
      </c>
      <c r="D483" s="13" t="s">
        <v>523</v>
      </c>
      <c r="E483" s="13" t="s">
        <v>531</v>
      </c>
      <c r="F483" s="12" t="s">
        <v>274</v>
      </c>
      <c r="G483" s="12" t="s">
        <v>276</v>
      </c>
      <c r="H483" s="13" t="s">
        <v>532</v>
      </c>
    </row>
    <row r="484" customFormat="false" ht="60" hidden="false" customHeight="true" outlineLevel="0" collapsed="false">
      <c r="A484" s="12" t="s">
        <v>215</v>
      </c>
      <c r="B484" s="12" t="s">
        <v>531</v>
      </c>
      <c r="C484" s="13" t="s">
        <v>533</v>
      </c>
      <c r="D484" s="13" t="s">
        <v>529</v>
      </c>
      <c r="E484" s="13" t="s">
        <v>454</v>
      </c>
      <c r="F484" s="12" t="s">
        <v>274</v>
      </c>
      <c r="G484" s="12" t="s">
        <v>276</v>
      </c>
      <c r="H484" s="13" t="s">
        <v>534</v>
      </c>
    </row>
    <row r="485" customFormat="false" ht="60" hidden="false" customHeight="true" outlineLevel="0" collapsed="false">
      <c r="A485" s="12" t="s">
        <v>215</v>
      </c>
      <c r="B485" s="12" t="s">
        <v>400</v>
      </c>
      <c r="C485" s="13" t="s">
        <v>402</v>
      </c>
      <c r="D485" s="13" t="s">
        <v>527</v>
      </c>
      <c r="E485" s="13" t="s">
        <v>454</v>
      </c>
      <c r="F485" s="12" t="s">
        <v>274</v>
      </c>
      <c r="G485" s="12" t="s">
        <v>276</v>
      </c>
      <c r="H485" s="13" t="s">
        <v>539</v>
      </c>
    </row>
    <row r="486" customFormat="false" ht="60" hidden="false" customHeight="true" outlineLevel="0" collapsed="false">
      <c r="A486" s="12" t="s">
        <v>215</v>
      </c>
      <c r="B486" s="12" t="s">
        <v>454</v>
      </c>
      <c r="C486" s="13" t="s">
        <v>273</v>
      </c>
      <c r="D486" s="13" t="s">
        <v>536</v>
      </c>
      <c r="E486" s="13" t="s">
        <v>310</v>
      </c>
      <c r="F486" s="12" t="s">
        <v>274</v>
      </c>
      <c r="G486" s="12" t="s">
        <v>302</v>
      </c>
      <c r="H486" s="13" t="s">
        <v>537</v>
      </c>
    </row>
    <row r="487" customFormat="false" ht="60" hidden="false" customHeight="true" outlineLevel="0" collapsed="false">
      <c r="A487" s="12" t="s">
        <v>215</v>
      </c>
      <c r="B487" s="12" t="s">
        <v>310</v>
      </c>
      <c r="C487" s="13" t="s">
        <v>273</v>
      </c>
      <c r="D487" s="13" t="s">
        <v>454</v>
      </c>
      <c r="E487" s="13" t="s">
        <v>274</v>
      </c>
      <c r="F487" s="12" t="s">
        <v>274</v>
      </c>
      <c r="G487" s="12" t="s">
        <v>371</v>
      </c>
      <c r="H487" s="13" t="s">
        <v>315</v>
      </c>
    </row>
    <row r="488" customFormat="false" ht="60" hidden="false" customHeight="true" outlineLevel="0" collapsed="false">
      <c r="A488" s="12" t="s">
        <v>217</v>
      </c>
      <c r="B488" s="12" t="s">
        <v>272</v>
      </c>
      <c r="C488" s="13" t="s">
        <v>273</v>
      </c>
      <c r="D488" s="13" t="s">
        <v>274</v>
      </c>
      <c r="E488" s="13" t="s">
        <v>515</v>
      </c>
      <c r="F488" s="12" t="s">
        <v>274</v>
      </c>
      <c r="G488" s="12" t="s">
        <v>276</v>
      </c>
      <c r="H488" s="13" t="s">
        <v>277</v>
      </c>
    </row>
    <row r="489" customFormat="false" ht="60" hidden="false" customHeight="true" outlineLevel="0" collapsed="false">
      <c r="A489" s="12" t="s">
        <v>217</v>
      </c>
      <c r="B489" s="12" t="s">
        <v>515</v>
      </c>
      <c r="C489" s="13" t="s">
        <v>359</v>
      </c>
      <c r="D489" s="13" t="s">
        <v>272</v>
      </c>
      <c r="E489" s="13" t="s">
        <v>516</v>
      </c>
      <c r="F489" s="12" t="s">
        <v>274</v>
      </c>
      <c r="G489" s="12" t="s">
        <v>276</v>
      </c>
      <c r="H489" s="13" t="s">
        <v>540</v>
      </c>
    </row>
    <row r="490" customFormat="false" ht="60" hidden="false" customHeight="true" outlineLevel="0" collapsed="false">
      <c r="A490" s="12" t="s">
        <v>217</v>
      </c>
      <c r="B490" s="12" t="s">
        <v>516</v>
      </c>
      <c r="C490" s="13" t="s">
        <v>518</v>
      </c>
      <c r="D490" s="13" t="s">
        <v>515</v>
      </c>
      <c r="E490" s="13" t="s">
        <v>519</v>
      </c>
      <c r="F490" s="12" t="s">
        <v>520</v>
      </c>
      <c r="G490" s="12" t="s">
        <v>371</v>
      </c>
      <c r="H490" s="13" t="s">
        <v>521</v>
      </c>
    </row>
    <row r="491" customFormat="false" ht="60" hidden="false" customHeight="true" outlineLevel="0" collapsed="false">
      <c r="A491" s="12" t="s">
        <v>217</v>
      </c>
      <c r="B491" s="12" t="s">
        <v>519</v>
      </c>
      <c r="C491" s="13" t="s">
        <v>522</v>
      </c>
      <c r="D491" s="13" t="s">
        <v>516</v>
      </c>
      <c r="E491" s="13" t="s">
        <v>523</v>
      </c>
      <c r="F491" s="12" t="s">
        <v>274</v>
      </c>
      <c r="G491" s="12" t="s">
        <v>371</v>
      </c>
      <c r="H491" s="13" t="s">
        <v>524</v>
      </c>
    </row>
    <row r="492" customFormat="false" ht="60" hidden="false" customHeight="true" outlineLevel="0" collapsed="false">
      <c r="A492" s="12" t="s">
        <v>217</v>
      </c>
      <c r="B492" s="12" t="s">
        <v>523</v>
      </c>
      <c r="C492" s="13" t="s">
        <v>281</v>
      </c>
      <c r="D492" s="13" t="s">
        <v>519</v>
      </c>
      <c r="E492" s="13" t="s">
        <v>525</v>
      </c>
      <c r="F492" s="12" t="s">
        <v>274</v>
      </c>
      <c r="G492" s="12" t="s">
        <v>276</v>
      </c>
      <c r="H492" s="13" t="s">
        <v>526</v>
      </c>
    </row>
    <row r="493" customFormat="false" ht="60" hidden="false" customHeight="true" outlineLevel="0" collapsed="false">
      <c r="A493" s="12" t="s">
        <v>217</v>
      </c>
      <c r="B493" s="12" t="s">
        <v>527</v>
      </c>
      <c r="C493" s="13" t="s">
        <v>273</v>
      </c>
      <c r="D493" s="13" t="s">
        <v>523</v>
      </c>
      <c r="E493" s="13" t="s">
        <v>400</v>
      </c>
      <c r="F493" s="12" t="s">
        <v>274</v>
      </c>
      <c r="G493" s="12" t="s">
        <v>276</v>
      </c>
      <c r="H493" s="13" t="s">
        <v>528</v>
      </c>
    </row>
    <row r="494" customFormat="false" ht="60" hidden="false" customHeight="true" outlineLevel="0" collapsed="false">
      <c r="A494" s="12" t="s">
        <v>217</v>
      </c>
      <c r="B494" s="12" t="s">
        <v>529</v>
      </c>
      <c r="C494" s="13" t="s">
        <v>530</v>
      </c>
      <c r="D494" s="13" t="s">
        <v>523</v>
      </c>
      <c r="E494" s="13" t="s">
        <v>531</v>
      </c>
      <c r="F494" s="12" t="s">
        <v>274</v>
      </c>
      <c r="G494" s="12" t="s">
        <v>276</v>
      </c>
      <c r="H494" s="13" t="s">
        <v>532</v>
      </c>
    </row>
    <row r="495" customFormat="false" ht="60" hidden="false" customHeight="true" outlineLevel="0" collapsed="false">
      <c r="A495" s="12" t="s">
        <v>217</v>
      </c>
      <c r="B495" s="12" t="s">
        <v>531</v>
      </c>
      <c r="C495" s="13" t="s">
        <v>533</v>
      </c>
      <c r="D495" s="13" t="s">
        <v>529</v>
      </c>
      <c r="E495" s="13" t="s">
        <v>454</v>
      </c>
      <c r="F495" s="12" t="s">
        <v>274</v>
      </c>
      <c r="G495" s="12" t="s">
        <v>276</v>
      </c>
      <c r="H495" s="13" t="s">
        <v>534</v>
      </c>
    </row>
    <row r="496" customFormat="false" ht="60" hidden="false" customHeight="true" outlineLevel="0" collapsed="false">
      <c r="A496" s="12" t="s">
        <v>217</v>
      </c>
      <c r="B496" s="12" t="s">
        <v>400</v>
      </c>
      <c r="C496" s="13" t="s">
        <v>402</v>
      </c>
      <c r="D496" s="13" t="s">
        <v>527</v>
      </c>
      <c r="E496" s="13" t="s">
        <v>454</v>
      </c>
      <c r="F496" s="12" t="s">
        <v>274</v>
      </c>
      <c r="G496" s="12" t="s">
        <v>276</v>
      </c>
      <c r="H496" s="13" t="s">
        <v>541</v>
      </c>
    </row>
    <row r="497" customFormat="false" ht="60" hidden="false" customHeight="true" outlineLevel="0" collapsed="false">
      <c r="A497" s="12" t="s">
        <v>217</v>
      </c>
      <c r="B497" s="12" t="s">
        <v>454</v>
      </c>
      <c r="C497" s="13" t="s">
        <v>273</v>
      </c>
      <c r="D497" s="13" t="s">
        <v>536</v>
      </c>
      <c r="E497" s="13" t="s">
        <v>310</v>
      </c>
      <c r="F497" s="12" t="s">
        <v>274</v>
      </c>
      <c r="G497" s="12" t="s">
        <v>302</v>
      </c>
      <c r="H497" s="13" t="s">
        <v>537</v>
      </c>
    </row>
    <row r="498" customFormat="false" ht="60" hidden="false" customHeight="true" outlineLevel="0" collapsed="false">
      <c r="A498" s="12" t="s">
        <v>217</v>
      </c>
      <c r="B498" s="12" t="s">
        <v>310</v>
      </c>
      <c r="C498" s="13" t="s">
        <v>273</v>
      </c>
      <c r="D498" s="13" t="s">
        <v>454</v>
      </c>
      <c r="E498" s="13" t="s">
        <v>274</v>
      </c>
      <c r="F498" s="12" t="s">
        <v>274</v>
      </c>
      <c r="G498" s="12" t="s">
        <v>371</v>
      </c>
      <c r="H498" s="13" t="s">
        <v>315</v>
      </c>
    </row>
    <row r="499" customFormat="false" ht="60" hidden="false" customHeight="true" outlineLevel="0" collapsed="false">
      <c r="A499" s="12" t="s">
        <v>221</v>
      </c>
      <c r="B499" s="12" t="s">
        <v>272</v>
      </c>
      <c r="C499" s="13" t="s">
        <v>273</v>
      </c>
      <c r="D499" s="13" t="s">
        <v>274</v>
      </c>
      <c r="E499" s="13" t="s">
        <v>515</v>
      </c>
      <c r="F499" s="12" t="s">
        <v>274</v>
      </c>
      <c r="G499" s="12" t="s">
        <v>276</v>
      </c>
      <c r="H499" s="13" t="s">
        <v>277</v>
      </c>
    </row>
    <row r="500" customFormat="false" ht="60" hidden="false" customHeight="true" outlineLevel="0" collapsed="false">
      <c r="A500" s="12" t="s">
        <v>221</v>
      </c>
      <c r="B500" s="12" t="s">
        <v>515</v>
      </c>
      <c r="C500" s="13" t="s">
        <v>359</v>
      </c>
      <c r="D500" s="13" t="s">
        <v>272</v>
      </c>
      <c r="E500" s="13" t="s">
        <v>516</v>
      </c>
      <c r="F500" s="12" t="s">
        <v>274</v>
      </c>
      <c r="G500" s="12" t="s">
        <v>276</v>
      </c>
      <c r="H500" s="13" t="s">
        <v>542</v>
      </c>
    </row>
    <row r="501" customFormat="false" ht="60" hidden="false" customHeight="true" outlineLevel="0" collapsed="false">
      <c r="A501" s="12" t="s">
        <v>221</v>
      </c>
      <c r="B501" s="12" t="s">
        <v>516</v>
      </c>
      <c r="C501" s="13" t="s">
        <v>518</v>
      </c>
      <c r="D501" s="13" t="s">
        <v>515</v>
      </c>
      <c r="E501" s="13" t="s">
        <v>519</v>
      </c>
      <c r="F501" s="12" t="s">
        <v>520</v>
      </c>
      <c r="G501" s="12" t="s">
        <v>371</v>
      </c>
      <c r="H501" s="13" t="s">
        <v>521</v>
      </c>
    </row>
    <row r="502" customFormat="false" ht="60" hidden="false" customHeight="true" outlineLevel="0" collapsed="false">
      <c r="A502" s="12" t="s">
        <v>221</v>
      </c>
      <c r="B502" s="12" t="s">
        <v>519</v>
      </c>
      <c r="C502" s="13" t="s">
        <v>522</v>
      </c>
      <c r="D502" s="13" t="s">
        <v>516</v>
      </c>
      <c r="E502" s="13" t="s">
        <v>523</v>
      </c>
      <c r="F502" s="12" t="s">
        <v>274</v>
      </c>
      <c r="G502" s="12" t="s">
        <v>371</v>
      </c>
      <c r="H502" s="13" t="s">
        <v>524</v>
      </c>
    </row>
    <row r="503" customFormat="false" ht="60" hidden="false" customHeight="true" outlineLevel="0" collapsed="false">
      <c r="A503" s="12" t="s">
        <v>221</v>
      </c>
      <c r="B503" s="12" t="s">
        <v>523</v>
      </c>
      <c r="C503" s="13" t="s">
        <v>281</v>
      </c>
      <c r="D503" s="13" t="s">
        <v>519</v>
      </c>
      <c r="E503" s="13" t="s">
        <v>525</v>
      </c>
      <c r="F503" s="12" t="s">
        <v>274</v>
      </c>
      <c r="G503" s="12" t="s">
        <v>276</v>
      </c>
      <c r="H503" s="13" t="s">
        <v>526</v>
      </c>
    </row>
    <row r="504" customFormat="false" ht="60" hidden="false" customHeight="true" outlineLevel="0" collapsed="false">
      <c r="A504" s="12" t="s">
        <v>221</v>
      </c>
      <c r="B504" s="12" t="s">
        <v>527</v>
      </c>
      <c r="C504" s="13" t="s">
        <v>273</v>
      </c>
      <c r="D504" s="13" t="s">
        <v>523</v>
      </c>
      <c r="E504" s="13" t="s">
        <v>400</v>
      </c>
      <c r="F504" s="12" t="s">
        <v>274</v>
      </c>
      <c r="G504" s="12" t="s">
        <v>276</v>
      </c>
      <c r="H504" s="13" t="s">
        <v>528</v>
      </c>
    </row>
    <row r="505" customFormat="false" ht="60" hidden="false" customHeight="true" outlineLevel="0" collapsed="false">
      <c r="A505" s="12" t="s">
        <v>221</v>
      </c>
      <c r="B505" s="12" t="s">
        <v>529</v>
      </c>
      <c r="C505" s="13" t="s">
        <v>530</v>
      </c>
      <c r="D505" s="13" t="s">
        <v>523</v>
      </c>
      <c r="E505" s="13" t="s">
        <v>531</v>
      </c>
      <c r="F505" s="12" t="s">
        <v>274</v>
      </c>
      <c r="G505" s="12" t="s">
        <v>276</v>
      </c>
      <c r="H505" s="13" t="s">
        <v>532</v>
      </c>
    </row>
    <row r="506" customFormat="false" ht="60" hidden="false" customHeight="true" outlineLevel="0" collapsed="false">
      <c r="A506" s="12" t="s">
        <v>221</v>
      </c>
      <c r="B506" s="12" t="s">
        <v>531</v>
      </c>
      <c r="C506" s="13" t="s">
        <v>533</v>
      </c>
      <c r="D506" s="13" t="s">
        <v>529</v>
      </c>
      <c r="E506" s="13" t="s">
        <v>454</v>
      </c>
      <c r="F506" s="12" t="s">
        <v>274</v>
      </c>
      <c r="G506" s="12" t="s">
        <v>276</v>
      </c>
      <c r="H506" s="13" t="s">
        <v>534</v>
      </c>
    </row>
    <row r="507" customFormat="false" ht="60" hidden="false" customHeight="true" outlineLevel="0" collapsed="false">
      <c r="A507" s="12" t="s">
        <v>221</v>
      </c>
      <c r="B507" s="12" t="s">
        <v>400</v>
      </c>
      <c r="C507" s="13" t="s">
        <v>402</v>
      </c>
      <c r="D507" s="13" t="s">
        <v>527</v>
      </c>
      <c r="E507" s="13" t="s">
        <v>454</v>
      </c>
      <c r="F507" s="12" t="s">
        <v>274</v>
      </c>
      <c r="G507" s="12" t="s">
        <v>276</v>
      </c>
      <c r="H507" s="13" t="s">
        <v>543</v>
      </c>
    </row>
    <row r="508" customFormat="false" ht="60" hidden="false" customHeight="true" outlineLevel="0" collapsed="false">
      <c r="A508" s="12" t="s">
        <v>221</v>
      </c>
      <c r="B508" s="12" t="s">
        <v>454</v>
      </c>
      <c r="C508" s="13" t="s">
        <v>273</v>
      </c>
      <c r="D508" s="13" t="s">
        <v>536</v>
      </c>
      <c r="E508" s="13" t="s">
        <v>310</v>
      </c>
      <c r="F508" s="12" t="s">
        <v>274</v>
      </c>
      <c r="G508" s="12" t="s">
        <v>302</v>
      </c>
      <c r="H508" s="13" t="s">
        <v>537</v>
      </c>
    </row>
    <row r="509" customFormat="false" ht="60" hidden="false" customHeight="true" outlineLevel="0" collapsed="false">
      <c r="A509" s="12" t="s">
        <v>221</v>
      </c>
      <c r="B509" s="12" t="s">
        <v>310</v>
      </c>
      <c r="C509" s="13" t="s">
        <v>273</v>
      </c>
      <c r="D509" s="13" t="s">
        <v>454</v>
      </c>
      <c r="E509" s="13" t="s">
        <v>274</v>
      </c>
      <c r="F509" s="12" t="s">
        <v>274</v>
      </c>
      <c r="G509" s="12" t="s">
        <v>371</v>
      </c>
      <c r="H509" s="13" t="s">
        <v>315</v>
      </c>
    </row>
    <row r="510" customFormat="false" ht="60" hidden="false" customHeight="true" outlineLevel="0" collapsed="false">
      <c r="A510" s="12" t="s">
        <v>223</v>
      </c>
      <c r="B510" s="12" t="s">
        <v>272</v>
      </c>
      <c r="C510" s="13" t="s">
        <v>273</v>
      </c>
      <c r="D510" s="13" t="s">
        <v>274</v>
      </c>
      <c r="E510" s="13" t="s">
        <v>515</v>
      </c>
      <c r="F510" s="12" t="s">
        <v>274</v>
      </c>
      <c r="G510" s="12" t="s">
        <v>276</v>
      </c>
      <c r="H510" s="13" t="s">
        <v>277</v>
      </c>
    </row>
    <row r="511" customFormat="false" ht="60" hidden="false" customHeight="true" outlineLevel="0" collapsed="false">
      <c r="A511" s="12" t="s">
        <v>223</v>
      </c>
      <c r="B511" s="12" t="s">
        <v>515</v>
      </c>
      <c r="C511" s="13" t="s">
        <v>359</v>
      </c>
      <c r="D511" s="13" t="s">
        <v>272</v>
      </c>
      <c r="E511" s="13" t="s">
        <v>516</v>
      </c>
      <c r="F511" s="12" t="s">
        <v>274</v>
      </c>
      <c r="G511" s="12" t="s">
        <v>276</v>
      </c>
      <c r="H511" s="13" t="s">
        <v>544</v>
      </c>
    </row>
    <row r="512" customFormat="false" ht="60" hidden="false" customHeight="true" outlineLevel="0" collapsed="false">
      <c r="A512" s="12" t="s">
        <v>223</v>
      </c>
      <c r="B512" s="12" t="s">
        <v>516</v>
      </c>
      <c r="C512" s="13" t="s">
        <v>518</v>
      </c>
      <c r="D512" s="13" t="s">
        <v>515</v>
      </c>
      <c r="E512" s="13" t="s">
        <v>519</v>
      </c>
      <c r="F512" s="12" t="s">
        <v>520</v>
      </c>
      <c r="G512" s="12" t="s">
        <v>371</v>
      </c>
      <c r="H512" s="13" t="s">
        <v>521</v>
      </c>
    </row>
    <row r="513" customFormat="false" ht="60" hidden="false" customHeight="true" outlineLevel="0" collapsed="false">
      <c r="A513" s="12" t="s">
        <v>223</v>
      </c>
      <c r="B513" s="12" t="s">
        <v>519</v>
      </c>
      <c r="C513" s="13" t="s">
        <v>522</v>
      </c>
      <c r="D513" s="13" t="s">
        <v>516</v>
      </c>
      <c r="E513" s="13" t="s">
        <v>523</v>
      </c>
      <c r="F513" s="12" t="s">
        <v>274</v>
      </c>
      <c r="G513" s="12" t="s">
        <v>371</v>
      </c>
      <c r="H513" s="13" t="s">
        <v>524</v>
      </c>
    </row>
    <row r="514" customFormat="false" ht="60" hidden="false" customHeight="true" outlineLevel="0" collapsed="false">
      <c r="A514" s="12" t="s">
        <v>223</v>
      </c>
      <c r="B514" s="12" t="s">
        <v>523</v>
      </c>
      <c r="C514" s="13" t="s">
        <v>281</v>
      </c>
      <c r="D514" s="13" t="s">
        <v>519</v>
      </c>
      <c r="E514" s="13" t="s">
        <v>525</v>
      </c>
      <c r="F514" s="12" t="s">
        <v>274</v>
      </c>
      <c r="G514" s="12" t="s">
        <v>276</v>
      </c>
      <c r="H514" s="13" t="s">
        <v>526</v>
      </c>
    </row>
    <row r="515" customFormat="false" ht="60" hidden="false" customHeight="true" outlineLevel="0" collapsed="false">
      <c r="A515" s="12" t="s">
        <v>223</v>
      </c>
      <c r="B515" s="12" t="s">
        <v>527</v>
      </c>
      <c r="C515" s="13" t="s">
        <v>273</v>
      </c>
      <c r="D515" s="13" t="s">
        <v>523</v>
      </c>
      <c r="E515" s="13" t="s">
        <v>400</v>
      </c>
      <c r="F515" s="12" t="s">
        <v>274</v>
      </c>
      <c r="G515" s="12" t="s">
        <v>276</v>
      </c>
      <c r="H515" s="13" t="s">
        <v>528</v>
      </c>
    </row>
    <row r="516" customFormat="false" ht="60" hidden="false" customHeight="true" outlineLevel="0" collapsed="false">
      <c r="A516" s="12" t="s">
        <v>223</v>
      </c>
      <c r="B516" s="12" t="s">
        <v>529</v>
      </c>
      <c r="C516" s="13" t="s">
        <v>530</v>
      </c>
      <c r="D516" s="13" t="s">
        <v>523</v>
      </c>
      <c r="E516" s="13" t="s">
        <v>531</v>
      </c>
      <c r="F516" s="12" t="s">
        <v>274</v>
      </c>
      <c r="G516" s="12" t="s">
        <v>276</v>
      </c>
      <c r="H516" s="13" t="s">
        <v>532</v>
      </c>
    </row>
    <row r="517" customFormat="false" ht="60" hidden="false" customHeight="true" outlineLevel="0" collapsed="false">
      <c r="A517" s="12" t="s">
        <v>223</v>
      </c>
      <c r="B517" s="12" t="s">
        <v>531</v>
      </c>
      <c r="C517" s="13" t="s">
        <v>533</v>
      </c>
      <c r="D517" s="13" t="s">
        <v>529</v>
      </c>
      <c r="E517" s="13" t="s">
        <v>454</v>
      </c>
      <c r="F517" s="12" t="s">
        <v>274</v>
      </c>
      <c r="G517" s="12" t="s">
        <v>276</v>
      </c>
      <c r="H517" s="13" t="s">
        <v>534</v>
      </c>
    </row>
    <row r="518" customFormat="false" ht="60" hidden="false" customHeight="true" outlineLevel="0" collapsed="false">
      <c r="A518" s="12" t="s">
        <v>223</v>
      </c>
      <c r="B518" s="12" t="s">
        <v>400</v>
      </c>
      <c r="C518" s="13" t="s">
        <v>402</v>
      </c>
      <c r="D518" s="13" t="s">
        <v>527</v>
      </c>
      <c r="E518" s="13" t="s">
        <v>454</v>
      </c>
      <c r="F518" s="12" t="s">
        <v>274</v>
      </c>
      <c r="G518" s="12" t="s">
        <v>276</v>
      </c>
      <c r="H518" s="13" t="s">
        <v>545</v>
      </c>
    </row>
    <row r="519" customFormat="false" ht="60" hidden="false" customHeight="true" outlineLevel="0" collapsed="false">
      <c r="A519" s="12" t="s">
        <v>223</v>
      </c>
      <c r="B519" s="12" t="s">
        <v>454</v>
      </c>
      <c r="C519" s="13" t="s">
        <v>273</v>
      </c>
      <c r="D519" s="13" t="s">
        <v>536</v>
      </c>
      <c r="E519" s="13" t="s">
        <v>310</v>
      </c>
      <c r="F519" s="12" t="s">
        <v>274</v>
      </c>
      <c r="G519" s="12" t="s">
        <v>302</v>
      </c>
      <c r="H519" s="13" t="s">
        <v>537</v>
      </c>
    </row>
    <row r="520" customFormat="false" ht="60" hidden="false" customHeight="true" outlineLevel="0" collapsed="false">
      <c r="A520" s="12" t="s">
        <v>223</v>
      </c>
      <c r="B520" s="12" t="s">
        <v>310</v>
      </c>
      <c r="C520" s="13" t="s">
        <v>273</v>
      </c>
      <c r="D520" s="13" t="s">
        <v>454</v>
      </c>
      <c r="E520" s="13" t="s">
        <v>274</v>
      </c>
      <c r="F520" s="12" t="s">
        <v>274</v>
      </c>
      <c r="G520" s="12" t="s">
        <v>371</v>
      </c>
      <c r="H520" s="13" t="s">
        <v>315</v>
      </c>
    </row>
    <row r="521" customFormat="false" ht="60" hidden="false" customHeight="true" outlineLevel="0" collapsed="false">
      <c r="A521" s="12" t="s">
        <v>227</v>
      </c>
      <c r="B521" s="12" t="s">
        <v>272</v>
      </c>
      <c r="C521" s="13" t="s">
        <v>273</v>
      </c>
      <c r="D521" s="13" t="s">
        <v>274</v>
      </c>
      <c r="E521" s="13" t="s">
        <v>515</v>
      </c>
      <c r="F521" s="12" t="s">
        <v>274</v>
      </c>
      <c r="G521" s="12" t="s">
        <v>276</v>
      </c>
      <c r="H521" s="13" t="s">
        <v>277</v>
      </c>
    </row>
    <row r="522" customFormat="false" ht="60" hidden="false" customHeight="true" outlineLevel="0" collapsed="false">
      <c r="A522" s="12" t="s">
        <v>227</v>
      </c>
      <c r="B522" s="12" t="s">
        <v>515</v>
      </c>
      <c r="C522" s="13" t="s">
        <v>359</v>
      </c>
      <c r="D522" s="13" t="s">
        <v>272</v>
      </c>
      <c r="E522" s="13" t="s">
        <v>516</v>
      </c>
      <c r="F522" s="12" t="s">
        <v>274</v>
      </c>
      <c r="G522" s="12" t="s">
        <v>276</v>
      </c>
      <c r="H522" s="13" t="s">
        <v>546</v>
      </c>
    </row>
    <row r="523" customFormat="false" ht="60" hidden="false" customHeight="true" outlineLevel="0" collapsed="false">
      <c r="A523" s="12" t="s">
        <v>227</v>
      </c>
      <c r="B523" s="12" t="s">
        <v>516</v>
      </c>
      <c r="C523" s="13" t="s">
        <v>518</v>
      </c>
      <c r="D523" s="13" t="s">
        <v>515</v>
      </c>
      <c r="E523" s="13" t="s">
        <v>519</v>
      </c>
      <c r="F523" s="12" t="s">
        <v>520</v>
      </c>
      <c r="G523" s="12" t="s">
        <v>371</v>
      </c>
      <c r="H523" s="13" t="s">
        <v>521</v>
      </c>
    </row>
    <row r="524" customFormat="false" ht="60" hidden="false" customHeight="true" outlineLevel="0" collapsed="false">
      <c r="A524" s="12" t="s">
        <v>227</v>
      </c>
      <c r="B524" s="12" t="s">
        <v>519</v>
      </c>
      <c r="C524" s="13" t="s">
        <v>522</v>
      </c>
      <c r="D524" s="13" t="s">
        <v>516</v>
      </c>
      <c r="E524" s="13" t="s">
        <v>523</v>
      </c>
      <c r="F524" s="12" t="s">
        <v>274</v>
      </c>
      <c r="G524" s="12" t="s">
        <v>371</v>
      </c>
      <c r="H524" s="13" t="s">
        <v>524</v>
      </c>
    </row>
    <row r="525" customFormat="false" ht="60" hidden="false" customHeight="true" outlineLevel="0" collapsed="false">
      <c r="A525" s="12" t="s">
        <v>227</v>
      </c>
      <c r="B525" s="12" t="s">
        <v>523</v>
      </c>
      <c r="C525" s="13" t="s">
        <v>281</v>
      </c>
      <c r="D525" s="13" t="s">
        <v>519</v>
      </c>
      <c r="E525" s="13" t="s">
        <v>525</v>
      </c>
      <c r="F525" s="12" t="s">
        <v>274</v>
      </c>
      <c r="G525" s="12" t="s">
        <v>276</v>
      </c>
      <c r="H525" s="13" t="s">
        <v>526</v>
      </c>
    </row>
    <row r="526" customFormat="false" ht="60" hidden="false" customHeight="true" outlineLevel="0" collapsed="false">
      <c r="A526" s="12" t="s">
        <v>227</v>
      </c>
      <c r="B526" s="12" t="s">
        <v>527</v>
      </c>
      <c r="C526" s="13" t="s">
        <v>273</v>
      </c>
      <c r="D526" s="13" t="s">
        <v>523</v>
      </c>
      <c r="E526" s="13" t="s">
        <v>400</v>
      </c>
      <c r="F526" s="12" t="s">
        <v>274</v>
      </c>
      <c r="G526" s="12" t="s">
        <v>276</v>
      </c>
      <c r="H526" s="13" t="s">
        <v>528</v>
      </c>
    </row>
    <row r="527" customFormat="false" ht="60" hidden="false" customHeight="true" outlineLevel="0" collapsed="false">
      <c r="A527" s="12" t="s">
        <v>227</v>
      </c>
      <c r="B527" s="12" t="s">
        <v>529</v>
      </c>
      <c r="C527" s="13" t="s">
        <v>530</v>
      </c>
      <c r="D527" s="13" t="s">
        <v>523</v>
      </c>
      <c r="E527" s="13" t="s">
        <v>531</v>
      </c>
      <c r="F527" s="12" t="s">
        <v>274</v>
      </c>
      <c r="G527" s="12" t="s">
        <v>276</v>
      </c>
      <c r="H527" s="13" t="s">
        <v>532</v>
      </c>
    </row>
    <row r="528" customFormat="false" ht="60" hidden="false" customHeight="true" outlineLevel="0" collapsed="false">
      <c r="A528" s="12" t="s">
        <v>227</v>
      </c>
      <c r="B528" s="12" t="s">
        <v>531</v>
      </c>
      <c r="C528" s="13" t="s">
        <v>533</v>
      </c>
      <c r="D528" s="13" t="s">
        <v>529</v>
      </c>
      <c r="E528" s="13" t="s">
        <v>454</v>
      </c>
      <c r="F528" s="12" t="s">
        <v>274</v>
      </c>
      <c r="G528" s="12" t="s">
        <v>276</v>
      </c>
      <c r="H528" s="13" t="s">
        <v>534</v>
      </c>
    </row>
    <row r="529" customFormat="false" ht="60" hidden="false" customHeight="true" outlineLevel="0" collapsed="false">
      <c r="A529" s="12" t="s">
        <v>227</v>
      </c>
      <c r="B529" s="12" t="s">
        <v>400</v>
      </c>
      <c r="C529" s="13" t="s">
        <v>402</v>
      </c>
      <c r="D529" s="13" t="s">
        <v>527</v>
      </c>
      <c r="E529" s="13" t="s">
        <v>454</v>
      </c>
      <c r="F529" s="12" t="s">
        <v>274</v>
      </c>
      <c r="G529" s="12" t="s">
        <v>276</v>
      </c>
      <c r="H529" s="13" t="s">
        <v>547</v>
      </c>
    </row>
    <row r="530" customFormat="false" ht="60" hidden="false" customHeight="true" outlineLevel="0" collapsed="false">
      <c r="A530" s="12" t="s">
        <v>227</v>
      </c>
      <c r="B530" s="12" t="s">
        <v>454</v>
      </c>
      <c r="C530" s="13" t="s">
        <v>273</v>
      </c>
      <c r="D530" s="13" t="s">
        <v>536</v>
      </c>
      <c r="E530" s="13" t="s">
        <v>310</v>
      </c>
      <c r="F530" s="12" t="s">
        <v>274</v>
      </c>
      <c r="G530" s="12" t="s">
        <v>302</v>
      </c>
      <c r="H530" s="13" t="s">
        <v>537</v>
      </c>
    </row>
    <row r="531" customFormat="false" ht="60" hidden="false" customHeight="true" outlineLevel="0" collapsed="false">
      <c r="A531" s="12" t="s">
        <v>227</v>
      </c>
      <c r="B531" s="12" t="s">
        <v>310</v>
      </c>
      <c r="C531" s="13" t="s">
        <v>273</v>
      </c>
      <c r="D531" s="13" t="s">
        <v>454</v>
      </c>
      <c r="E531" s="13" t="s">
        <v>274</v>
      </c>
      <c r="F531" s="12" t="s">
        <v>274</v>
      </c>
      <c r="G531" s="12" t="s">
        <v>371</v>
      </c>
      <c r="H531" s="13" t="s">
        <v>315</v>
      </c>
    </row>
    <row r="532" customFormat="false" ht="60" hidden="false" customHeight="true" outlineLevel="0" collapsed="false">
      <c r="A532" s="12" t="s">
        <v>229</v>
      </c>
      <c r="B532" s="12" t="s">
        <v>272</v>
      </c>
      <c r="C532" s="13" t="s">
        <v>273</v>
      </c>
      <c r="D532" s="13" t="s">
        <v>274</v>
      </c>
      <c r="E532" s="13" t="s">
        <v>515</v>
      </c>
      <c r="F532" s="12" t="s">
        <v>274</v>
      </c>
      <c r="G532" s="12" t="s">
        <v>276</v>
      </c>
      <c r="H532" s="13" t="s">
        <v>277</v>
      </c>
    </row>
    <row r="533" customFormat="false" ht="60" hidden="false" customHeight="true" outlineLevel="0" collapsed="false">
      <c r="A533" s="12" t="s">
        <v>229</v>
      </c>
      <c r="B533" s="12" t="s">
        <v>515</v>
      </c>
      <c r="C533" s="13" t="s">
        <v>359</v>
      </c>
      <c r="D533" s="13" t="s">
        <v>272</v>
      </c>
      <c r="E533" s="13" t="s">
        <v>516</v>
      </c>
      <c r="F533" s="12" t="s">
        <v>274</v>
      </c>
      <c r="G533" s="12" t="s">
        <v>276</v>
      </c>
      <c r="H533" s="13" t="s">
        <v>548</v>
      </c>
    </row>
    <row r="534" customFormat="false" ht="60" hidden="false" customHeight="true" outlineLevel="0" collapsed="false">
      <c r="A534" s="12" t="s">
        <v>229</v>
      </c>
      <c r="B534" s="12" t="s">
        <v>516</v>
      </c>
      <c r="C534" s="13" t="s">
        <v>518</v>
      </c>
      <c r="D534" s="13" t="s">
        <v>515</v>
      </c>
      <c r="E534" s="13" t="s">
        <v>519</v>
      </c>
      <c r="F534" s="12" t="s">
        <v>520</v>
      </c>
      <c r="G534" s="12" t="s">
        <v>371</v>
      </c>
      <c r="H534" s="13" t="s">
        <v>521</v>
      </c>
    </row>
    <row r="535" customFormat="false" ht="60" hidden="false" customHeight="true" outlineLevel="0" collapsed="false">
      <c r="A535" s="12" t="s">
        <v>229</v>
      </c>
      <c r="B535" s="12" t="s">
        <v>519</v>
      </c>
      <c r="C535" s="13" t="s">
        <v>522</v>
      </c>
      <c r="D535" s="13" t="s">
        <v>516</v>
      </c>
      <c r="E535" s="13" t="s">
        <v>523</v>
      </c>
      <c r="F535" s="12" t="s">
        <v>274</v>
      </c>
      <c r="G535" s="12" t="s">
        <v>371</v>
      </c>
      <c r="H535" s="13" t="s">
        <v>524</v>
      </c>
    </row>
    <row r="536" customFormat="false" ht="60" hidden="false" customHeight="true" outlineLevel="0" collapsed="false">
      <c r="A536" s="12" t="s">
        <v>229</v>
      </c>
      <c r="B536" s="12" t="s">
        <v>523</v>
      </c>
      <c r="C536" s="13" t="s">
        <v>281</v>
      </c>
      <c r="D536" s="13" t="s">
        <v>519</v>
      </c>
      <c r="E536" s="13" t="s">
        <v>525</v>
      </c>
      <c r="F536" s="12" t="s">
        <v>274</v>
      </c>
      <c r="G536" s="12" t="s">
        <v>276</v>
      </c>
      <c r="H536" s="13" t="s">
        <v>526</v>
      </c>
    </row>
    <row r="537" customFormat="false" ht="60" hidden="false" customHeight="true" outlineLevel="0" collapsed="false">
      <c r="A537" s="12" t="s">
        <v>229</v>
      </c>
      <c r="B537" s="12" t="s">
        <v>527</v>
      </c>
      <c r="C537" s="13" t="s">
        <v>273</v>
      </c>
      <c r="D537" s="13" t="s">
        <v>523</v>
      </c>
      <c r="E537" s="13" t="s">
        <v>400</v>
      </c>
      <c r="F537" s="12" t="s">
        <v>274</v>
      </c>
      <c r="G537" s="12" t="s">
        <v>276</v>
      </c>
      <c r="H537" s="13" t="s">
        <v>528</v>
      </c>
    </row>
    <row r="538" customFormat="false" ht="60" hidden="false" customHeight="true" outlineLevel="0" collapsed="false">
      <c r="A538" s="12" t="s">
        <v>229</v>
      </c>
      <c r="B538" s="12" t="s">
        <v>529</v>
      </c>
      <c r="C538" s="13" t="s">
        <v>530</v>
      </c>
      <c r="D538" s="13" t="s">
        <v>523</v>
      </c>
      <c r="E538" s="13" t="s">
        <v>531</v>
      </c>
      <c r="F538" s="12" t="s">
        <v>274</v>
      </c>
      <c r="G538" s="12" t="s">
        <v>276</v>
      </c>
      <c r="H538" s="13" t="s">
        <v>532</v>
      </c>
    </row>
    <row r="539" customFormat="false" ht="60" hidden="false" customHeight="true" outlineLevel="0" collapsed="false">
      <c r="A539" s="12" t="s">
        <v>229</v>
      </c>
      <c r="B539" s="12" t="s">
        <v>531</v>
      </c>
      <c r="C539" s="13" t="s">
        <v>533</v>
      </c>
      <c r="D539" s="13" t="s">
        <v>529</v>
      </c>
      <c r="E539" s="13" t="s">
        <v>454</v>
      </c>
      <c r="F539" s="12" t="s">
        <v>274</v>
      </c>
      <c r="G539" s="12" t="s">
        <v>276</v>
      </c>
      <c r="H539" s="13" t="s">
        <v>534</v>
      </c>
    </row>
    <row r="540" customFormat="false" ht="60" hidden="false" customHeight="true" outlineLevel="0" collapsed="false">
      <c r="A540" s="12" t="s">
        <v>229</v>
      </c>
      <c r="B540" s="12" t="s">
        <v>400</v>
      </c>
      <c r="C540" s="13" t="s">
        <v>402</v>
      </c>
      <c r="D540" s="13" t="s">
        <v>527</v>
      </c>
      <c r="E540" s="13" t="s">
        <v>454</v>
      </c>
      <c r="F540" s="12" t="s">
        <v>274</v>
      </c>
      <c r="G540" s="12" t="s">
        <v>276</v>
      </c>
      <c r="H540" s="13" t="s">
        <v>549</v>
      </c>
    </row>
    <row r="541" customFormat="false" ht="60" hidden="false" customHeight="true" outlineLevel="0" collapsed="false">
      <c r="A541" s="12" t="s">
        <v>229</v>
      </c>
      <c r="B541" s="12" t="s">
        <v>454</v>
      </c>
      <c r="C541" s="13" t="s">
        <v>273</v>
      </c>
      <c r="D541" s="13" t="s">
        <v>536</v>
      </c>
      <c r="E541" s="13" t="s">
        <v>310</v>
      </c>
      <c r="F541" s="12" t="s">
        <v>274</v>
      </c>
      <c r="G541" s="12" t="s">
        <v>302</v>
      </c>
      <c r="H541" s="13" t="s">
        <v>537</v>
      </c>
    </row>
    <row r="542" customFormat="false" ht="60" hidden="false" customHeight="true" outlineLevel="0" collapsed="false">
      <c r="A542" s="12" t="s">
        <v>229</v>
      </c>
      <c r="B542" s="12" t="s">
        <v>310</v>
      </c>
      <c r="C542" s="13" t="s">
        <v>273</v>
      </c>
      <c r="D542" s="13" t="s">
        <v>454</v>
      </c>
      <c r="E542" s="13" t="s">
        <v>274</v>
      </c>
      <c r="F542" s="12" t="s">
        <v>274</v>
      </c>
      <c r="G542" s="12" t="s">
        <v>371</v>
      </c>
      <c r="H542" s="13" t="s">
        <v>315</v>
      </c>
    </row>
    <row r="543" customFormat="false" ht="60" hidden="false" customHeight="true" outlineLevel="0" collapsed="false">
      <c r="A543" s="12" t="s">
        <v>231</v>
      </c>
      <c r="B543" s="12" t="s">
        <v>272</v>
      </c>
      <c r="C543" s="13" t="s">
        <v>273</v>
      </c>
      <c r="D543" s="13" t="s">
        <v>274</v>
      </c>
      <c r="E543" s="13" t="s">
        <v>550</v>
      </c>
      <c r="F543" s="12" t="s">
        <v>274</v>
      </c>
      <c r="G543" s="12" t="s">
        <v>276</v>
      </c>
      <c r="H543" s="13" t="s">
        <v>277</v>
      </c>
    </row>
    <row r="544" customFormat="false" ht="60" hidden="false" customHeight="true" outlineLevel="0" collapsed="false">
      <c r="A544" s="12" t="s">
        <v>231</v>
      </c>
      <c r="B544" s="12" t="s">
        <v>550</v>
      </c>
      <c r="C544" s="13" t="s">
        <v>359</v>
      </c>
      <c r="D544" s="13" t="s">
        <v>272</v>
      </c>
      <c r="E544" s="13" t="s">
        <v>551</v>
      </c>
      <c r="F544" s="12" t="s">
        <v>274</v>
      </c>
      <c r="G544" s="12" t="s">
        <v>276</v>
      </c>
      <c r="H544" s="13" t="s">
        <v>552</v>
      </c>
    </row>
    <row r="545" customFormat="false" ht="60" hidden="false" customHeight="true" outlineLevel="0" collapsed="false">
      <c r="A545" s="12" t="s">
        <v>231</v>
      </c>
      <c r="B545" s="12" t="s">
        <v>551</v>
      </c>
      <c r="C545" s="13" t="s">
        <v>553</v>
      </c>
      <c r="D545" s="13" t="s">
        <v>550</v>
      </c>
      <c r="E545" s="13" t="s">
        <v>519</v>
      </c>
      <c r="F545" s="12" t="s">
        <v>554</v>
      </c>
      <c r="G545" s="12" t="s">
        <v>371</v>
      </c>
      <c r="H545" s="13" t="s">
        <v>555</v>
      </c>
    </row>
    <row r="546" customFormat="false" ht="60" hidden="false" customHeight="true" outlineLevel="0" collapsed="false">
      <c r="A546" s="12" t="s">
        <v>231</v>
      </c>
      <c r="B546" s="12" t="s">
        <v>556</v>
      </c>
      <c r="C546" s="13" t="s">
        <v>557</v>
      </c>
      <c r="D546" s="13" t="s">
        <v>550</v>
      </c>
      <c r="E546" s="13" t="s">
        <v>519</v>
      </c>
      <c r="F546" s="12" t="s">
        <v>274</v>
      </c>
      <c r="G546" s="12" t="s">
        <v>371</v>
      </c>
      <c r="H546" s="13" t="s">
        <v>558</v>
      </c>
    </row>
    <row r="547" customFormat="false" ht="60" hidden="false" customHeight="true" outlineLevel="0" collapsed="false">
      <c r="A547" s="12" t="s">
        <v>231</v>
      </c>
      <c r="B547" s="12" t="s">
        <v>519</v>
      </c>
      <c r="C547" s="13" t="s">
        <v>299</v>
      </c>
      <c r="D547" s="13" t="s">
        <v>559</v>
      </c>
      <c r="E547" s="13" t="s">
        <v>400</v>
      </c>
      <c r="F547" s="12" t="s">
        <v>274</v>
      </c>
      <c r="G547" s="12" t="s">
        <v>302</v>
      </c>
      <c r="H547" s="13" t="s">
        <v>560</v>
      </c>
    </row>
    <row r="548" customFormat="false" ht="60" hidden="false" customHeight="true" outlineLevel="0" collapsed="false">
      <c r="A548" s="12" t="s">
        <v>231</v>
      </c>
      <c r="B548" s="12" t="s">
        <v>400</v>
      </c>
      <c r="C548" s="13" t="s">
        <v>402</v>
      </c>
      <c r="D548" s="13" t="s">
        <v>519</v>
      </c>
      <c r="E548" s="13" t="s">
        <v>561</v>
      </c>
      <c r="F548" s="12" t="s">
        <v>274</v>
      </c>
      <c r="G548" s="12" t="s">
        <v>276</v>
      </c>
      <c r="H548" s="13" t="s">
        <v>471</v>
      </c>
    </row>
    <row r="549" customFormat="false" ht="60" hidden="false" customHeight="true" outlineLevel="0" collapsed="false">
      <c r="A549" s="12" t="s">
        <v>231</v>
      </c>
      <c r="B549" s="12" t="s">
        <v>561</v>
      </c>
      <c r="C549" s="13" t="s">
        <v>562</v>
      </c>
      <c r="D549" s="13" t="s">
        <v>400</v>
      </c>
      <c r="E549" s="13" t="s">
        <v>370</v>
      </c>
      <c r="F549" s="12" t="s">
        <v>274</v>
      </c>
      <c r="G549" s="12" t="s">
        <v>371</v>
      </c>
      <c r="H549" s="13" t="s">
        <v>563</v>
      </c>
    </row>
    <row r="550" customFormat="false" ht="60" hidden="false" customHeight="true" outlineLevel="0" collapsed="false">
      <c r="A550" s="12" t="s">
        <v>231</v>
      </c>
      <c r="B550" s="12" t="s">
        <v>370</v>
      </c>
      <c r="C550" s="13" t="s">
        <v>373</v>
      </c>
      <c r="D550" s="13" t="s">
        <v>561</v>
      </c>
      <c r="E550" s="13" t="s">
        <v>310</v>
      </c>
      <c r="F550" s="12" t="s">
        <v>274</v>
      </c>
      <c r="G550" s="12" t="s">
        <v>371</v>
      </c>
      <c r="H550" s="13" t="s">
        <v>564</v>
      </c>
    </row>
    <row r="551" customFormat="false" ht="60" hidden="false" customHeight="true" outlineLevel="0" collapsed="false">
      <c r="A551" s="12" t="s">
        <v>231</v>
      </c>
      <c r="B551" s="12" t="s">
        <v>310</v>
      </c>
      <c r="C551" s="13" t="s">
        <v>273</v>
      </c>
      <c r="D551" s="13" t="s">
        <v>370</v>
      </c>
      <c r="E551" s="13" t="s">
        <v>274</v>
      </c>
      <c r="F551" s="12" t="s">
        <v>274</v>
      </c>
      <c r="G551" s="12" t="s">
        <v>371</v>
      </c>
      <c r="H551" s="13" t="s">
        <v>315</v>
      </c>
    </row>
    <row r="552" customFormat="false" ht="60" hidden="false" customHeight="true" outlineLevel="0" collapsed="false">
      <c r="A552" s="12" t="s">
        <v>234</v>
      </c>
      <c r="B552" s="12" t="s">
        <v>272</v>
      </c>
      <c r="C552" s="13" t="s">
        <v>273</v>
      </c>
      <c r="D552" s="13" t="s">
        <v>274</v>
      </c>
      <c r="E552" s="13" t="s">
        <v>550</v>
      </c>
      <c r="F552" s="12" t="s">
        <v>274</v>
      </c>
      <c r="G552" s="12" t="s">
        <v>276</v>
      </c>
      <c r="H552" s="13" t="s">
        <v>277</v>
      </c>
    </row>
    <row r="553" customFormat="false" ht="60" hidden="false" customHeight="true" outlineLevel="0" collapsed="false">
      <c r="A553" s="12" t="s">
        <v>234</v>
      </c>
      <c r="B553" s="12" t="s">
        <v>550</v>
      </c>
      <c r="C553" s="13" t="s">
        <v>359</v>
      </c>
      <c r="D553" s="13" t="s">
        <v>272</v>
      </c>
      <c r="E553" s="13" t="s">
        <v>551</v>
      </c>
      <c r="F553" s="12" t="s">
        <v>274</v>
      </c>
      <c r="G553" s="12" t="s">
        <v>276</v>
      </c>
      <c r="H553" s="13" t="s">
        <v>565</v>
      </c>
    </row>
    <row r="554" customFormat="false" ht="60" hidden="false" customHeight="true" outlineLevel="0" collapsed="false">
      <c r="A554" s="12" t="s">
        <v>234</v>
      </c>
      <c r="B554" s="12" t="s">
        <v>551</v>
      </c>
      <c r="C554" s="13" t="s">
        <v>553</v>
      </c>
      <c r="D554" s="13" t="s">
        <v>550</v>
      </c>
      <c r="E554" s="13" t="s">
        <v>519</v>
      </c>
      <c r="F554" s="12" t="s">
        <v>554</v>
      </c>
      <c r="G554" s="12" t="s">
        <v>371</v>
      </c>
      <c r="H554" s="13" t="s">
        <v>555</v>
      </c>
    </row>
    <row r="555" customFormat="false" ht="60" hidden="false" customHeight="true" outlineLevel="0" collapsed="false">
      <c r="A555" s="12" t="s">
        <v>234</v>
      </c>
      <c r="B555" s="12" t="s">
        <v>556</v>
      </c>
      <c r="C555" s="13" t="s">
        <v>557</v>
      </c>
      <c r="D555" s="13" t="s">
        <v>550</v>
      </c>
      <c r="E555" s="13" t="s">
        <v>519</v>
      </c>
      <c r="F555" s="12" t="s">
        <v>274</v>
      </c>
      <c r="G555" s="12" t="s">
        <v>371</v>
      </c>
      <c r="H555" s="13" t="s">
        <v>558</v>
      </c>
    </row>
    <row r="556" customFormat="false" ht="60" hidden="false" customHeight="true" outlineLevel="0" collapsed="false">
      <c r="A556" s="12" t="s">
        <v>234</v>
      </c>
      <c r="B556" s="12" t="s">
        <v>519</v>
      </c>
      <c r="C556" s="13" t="s">
        <v>299</v>
      </c>
      <c r="D556" s="13" t="s">
        <v>559</v>
      </c>
      <c r="E556" s="13" t="s">
        <v>400</v>
      </c>
      <c r="F556" s="12" t="s">
        <v>274</v>
      </c>
      <c r="G556" s="12" t="s">
        <v>302</v>
      </c>
      <c r="H556" s="13" t="s">
        <v>560</v>
      </c>
    </row>
    <row r="557" customFormat="false" ht="60" hidden="false" customHeight="true" outlineLevel="0" collapsed="false">
      <c r="A557" s="12" t="s">
        <v>234</v>
      </c>
      <c r="B557" s="12" t="s">
        <v>400</v>
      </c>
      <c r="C557" s="13" t="s">
        <v>402</v>
      </c>
      <c r="D557" s="13" t="s">
        <v>519</v>
      </c>
      <c r="E557" s="13" t="s">
        <v>561</v>
      </c>
      <c r="F557" s="12" t="s">
        <v>274</v>
      </c>
      <c r="G557" s="12" t="s">
        <v>276</v>
      </c>
      <c r="H557" s="13" t="s">
        <v>566</v>
      </c>
    </row>
    <row r="558" customFormat="false" ht="60" hidden="false" customHeight="true" outlineLevel="0" collapsed="false">
      <c r="A558" s="12" t="s">
        <v>234</v>
      </c>
      <c r="B558" s="12" t="s">
        <v>561</v>
      </c>
      <c r="C558" s="13" t="s">
        <v>562</v>
      </c>
      <c r="D558" s="13" t="s">
        <v>400</v>
      </c>
      <c r="E558" s="13" t="s">
        <v>370</v>
      </c>
      <c r="F558" s="12" t="s">
        <v>274</v>
      </c>
      <c r="G558" s="12" t="s">
        <v>371</v>
      </c>
      <c r="H558" s="13" t="s">
        <v>563</v>
      </c>
    </row>
    <row r="559" customFormat="false" ht="60" hidden="false" customHeight="true" outlineLevel="0" collapsed="false">
      <c r="A559" s="12" t="s">
        <v>234</v>
      </c>
      <c r="B559" s="12" t="s">
        <v>370</v>
      </c>
      <c r="C559" s="13" t="s">
        <v>373</v>
      </c>
      <c r="D559" s="13" t="s">
        <v>561</v>
      </c>
      <c r="E559" s="13" t="s">
        <v>310</v>
      </c>
      <c r="F559" s="12" t="s">
        <v>274</v>
      </c>
      <c r="G559" s="12" t="s">
        <v>371</v>
      </c>
      <c r="H559" s="13" t="s">
        <v>564</v>
      </c>
    </row>
    <row r="560" customFormat="false" ht="60" hidden="false" customHeight="true" outlineLevel="0" collapsed="false">
      <c r="A560" s="12" t="s">
        <v>234</v>
      </c>
      <c r="B560" s="12" t="s">
        <v>310</v>
      </c>
      <c r="C560" s="13" t="s">
        <v>273</v>
      </c>
      <c r="D560" s="13" t="s">
        <v>370</v>
      </c>
      <c r="E560" s="13" t="s">
        <v>274</v>
      </c>
      <c r="F560" s="12" t="s">
        <v>274</v>
      </c>
      <c r="G560" s="12" t="s">
        <v>371</v>
      </c>
      <c r="H560" s="13" t="s">
        <v>315</v>
      </c>
    </row>
    <row r="561" customFormat="false" ht="60" hidden="false" customHeight="true" outlineLevel="0" collapsed="false">
      <c r="A561" s="12" t="s">
        <v>236</v>
      </c>
      <c r="B561" s="12" t="s">
        <v>272</v>
      </c>
      <c r="C561" s="13" t="s">
        <v>273</v>
      </c>
      <c r="D561" s="13" t="s">
        <v>274</v>
      </c>
      <c r="E561" s="13" t="s">
        <v>550</v>
      </c>
      <c r="F561" s="12" t="s">
        <v>274</v>
      </c>
      <c r="G561" s="12" t="s">
        <v>276</v>
      </c>
      <c r="H561" s="13" t="s">
        <v>277</v>
      </c>
    </row>
    <row r="562" customFormat="false" ht="60" hidden="false" customHeight="true" outlineLevel="0" collapsed="false">
      <c r="A562" s="12" t="s">
        <v>236</v>
      </c>
      <c r="B562" s="12" t="s">
        <v>550</v>
      </c>
      <c r="C562" s="13" t="s">
        <v>359</v>
      </c>
      <c r="D562" s="13" t="s">
        <v>272</v>
      </c>
      <c r="E562" s="13" t="s">
        <v>551</v>
      </c>
      <c r="F562" s="12" t="s">
        <v>274</v>
      </c>
      <c r="G562" s="12" t="s">
        <v>276</v>
      </c>
      <c r="H562" s="13" t="s">
        <v>567</v>
      </c>
    </row>
    <row r="563" customFormat="false" ht="60" hidden="false" customHeight="true" outlineLevel="0" collapsed="false">
      <c r="A563" s="12" t="s">
        <v>236</v>
      </c>
      <c r="B563" s="12" t="s">
        <v>551</v>
      </c>
      <c r="C563" s="13" t="s">
        <v>553</v>
      </c>
      <c r="D563" s="13" t="s">
        <v>550</v>
      </c>
      <c r="E563" s="13" t="s">
        <v>519</v>
      </c>
      <c r="F563" s="12" t="s">
        <v>554</v>
      </c>
      <c r="G563" s="12" t="s">
        <v>371</v>
      </c>
      <c r="H563" s="13" t="s">
        <v>555</v>
      </c>
    </row>
    <row r="564" customFormat="false" ht="60" hidden="false" customHeight="true" outlineLevel="0" collapsed="false">
      <c r="A564" s="12" t="s">
        <v>236</v>
      </c>
      <c r="B564" s="12" t="s">
        <v>556</v>
      </c>
      <c r="C564" s="13" t="s">
        <v>557</v>
      </c>
      <c r="D564" s="13" t="s">
        <v>550</v>
      </c>
      <c r="E564" s="13" t="s">
        <v>519</v>
      </c>
      <c r="F564" s="12" t="s">
        <v>274</v>
      </c>
      <c r="G564" s="12" t="s">
        <v>371</v>
      </c>
      <c r="H564" s="13" t="s">
        <v>558</v>
      </c>
    </row>
    <row r="565" customFormat="false" ht="60" hidden="false" customHeight="true" outlineLevel="0" collapsed="false">
      <c r="A565" s="12" t="s">
        <v>236</v>
      </c>
      <c r="B565" s="12" t="s">
        <v>519</v>
      </c>
      <c r="C565" s="13" t="s">
        <v>299</v>
      </c>
      <c r="D565" s="13" t="s">
        <v>559</v>
      </c>
      <c r="E565" s="13" t="s">
        <v>400</v>
      </c>
      <c r="F565" s="12" t="s">
        <v>274</v>
      </c>
      <c r="G565" s="12" t="s">
        <v>302</v>
      </c>
      <c r="H565" s="13" t="s">
        <v>560</v>
      </c>
    </row>
    <row r="566" customFormat="false" ht="60" hidden="false" customHeight="true" outlineLevel="0" collapsed="false">
      <c r="A566" s="12" t="s">
        <v>236</v>
      </c>
      <c r="B566" s="12" t="s">
        <v>400</v>
      </c>
      <c r="C566" s="13" t="s">
        <v>402</v>
      </c>
      <c r="D566" s="13" t="s">
        <v>519</v>
      </c>
      <c r="E566" s="13" t="s">
        <v>561</v>
      </c>
      <c r="F566" s="12" t="s">
        <v>274</v>
      </c>
      <c r="G566" s="12" t="s">
        <v>276</v>
      </c>
      <c r="H566" s="13" t="s">
        <v>568</v>
      </c>
    </row>
    <row r="567" customFormat="false" ht="60" hidden="false" customHeight="true" outlineLevel="0" collapsed="false">
      <c r="A567" s="12" t="s">
        <v>236</v>
      </c>
      <c r="B567" s="12" t="s">
        <v>561</v>
      </c>
      <c r="C567" s="13" t="s">
        <v>562</v>
      </c>
      <c r="D567" s="13" t="s">
        <v>400</v>
      </c>
      <c r="E567" s="13" t="s">
        <v>370</v>
      </c>
      <c r="F567" s="12" t="s">
        <v>274</v>
      </c>
      <c r="G567" s="12" t="s">
        <v>371</v>
      </c>
      <c r="H567" s="13" t="s">
        <v>563</v>
      </c>
    </row>
    <row r="568" customFormat="false" ht="60" hidden="false" customHeight="true" outlineLevel="0" collapsed="false">
      <c r="A568" s="12" t="s">
        <v>236</v>
      </c>
      <c r="B568" s="12" t="s">
        <v>370</v>
      </c>
      <c r="C568" s="13" t="s">
        <v>373</v>
      </c>
      <c r="D568" s="13" t="s">
        <v>561</v>
      </c>
      <c r="E568" s="13" t="s">
        <v>310</v>
      </c>
      <c r="F568" s="12" t="s">
        <v>274</v>
      </c>
      <c r="G568" s="12" t="s">
        <v>371</v>
      </c>
      <c r="H568" s="13" t="s">
        <v>564</v>
      </c>
    </row>
    <row r="569" customFormat="false" ht="60" hidden="false" customHeight="true" outlineLevel="0" collapsed="false">
      <c r="A569" s="12" t="s">
        <v>236</v>
      </c>
      <c r="B569" s="12" t="s">
        <v>310</v>
      </c>
      <c r="C569" s="13" t="s">
        <v>273</v>
      </c>
      <c r="D569" s="13" t="s">
        <v>370</v>
      </c>
      <c r="E569" s="13" t="s">
        <v>274</v>
      </c>
      <c r="F569" s="12" t="s">
        <v>274</v>
      </c>
      <c r="G569" s="12" t="s">
        <v>371</v>
      </c>
      <c r="H569" s="13" t="s">
        <v>315</v>
      </c>
    </row>
    <row r="570" customFormat="false" ht="60" hidden="false" customHeight="true" outlineLevel="0" collapsed="false">
      <c r="A570" s="12" t="s">
        <v>239</v>
      </c>
      <c r="B570" s="12" t="s">
        <v>272</v>
      </c>
      <c r="C570" s="13" t="s">
        <v>273</v>
      </c>
      <c r="D570" s="13" t="s">
        <v>274</v>
      </c>
      <c r="E570" s="13" t="s">
        <v>550</v>
      </c>
      <c r="F570" s="12" t="s">
        <v>274</v>
      </c>
      <c r="G570" s="12" t="s">
        <v>276</v>
      </c>
      <c r="H570" s="13" t="s">
        <v>277</v>
      </c>
    </row>
    <row r="571" customFormat="false" ht="60" hidden="false" customHeight="true" outlineLevel="0" collapsed="false">
      <c r="A571" s="12" t="s">
        <v>239</v>
      </c>
      <c r="B571" s="12" t="s">
        <v>550</v>
      </c>
      <c r="C571" s="13" t="s">
        <v>359</v>
      </c>
      <c r="D571" s="13" t="s">
        <v>272</v>
      </c>
      <c r="E571" s="13" t="s">
        <v>551</v>
      </c>
      <c r="F571" s="12" t="s">
        <v>274</v>
      </c>
      <c r="G571" s="12" t="s">
        <v>276</v>
      </c>
      <c r="H571" s="13" t="s">
        <v>569</v>
      </c>
    </row>
    <row r="572" customFormat="false" ht="60" hidden="false" customHeight="true" outlineLevel="0" collapsed="false">
      <c r="A572" s="12" t="s">
        <v>239</v>
      </c>
      <c r="B572" s="12" t="s">
        <v>551</v>
      </c>
      <c r="C572" s="13" t="s">
        <v>553</v>
      </c>
      <c r="D572" s="13" t="s">
        <v>550</v>
      </c>
      <c r="E572" s="13" t="s">
        <v>519</v>
      </c>
      <c r="F572" s="12" t="s">
        <v>554</v>
      </c>
      <c r="G572" s="12" t="s">
        <v>371</v>
      </c>
      <c r="H572" s="13" t="s">
        <v>555</v>
      </c>
    </row>
    <row r="573" customFormat="false" ht="60" hidden="false" customHeight="true" outlineLevel="0" collapsed="false">
      <c r="A573" s="12" t="s">
        <v>239</v>
      </c>
      <c r="B573" s="12" t="s">
        <v>556</v>
      </c>
      <c r="C573" s="13" t="s">
        <v>557</v>
      </c>
      <c r="D573" s="13" t="s">
        <v>550</v>
      </c>
      <c r="E573" s="13" t="s">
        <v>519</v>
      </c>
      <c r="F573" s="12" t="s">
        <v>274</v>
      </c>
      <c r="G573" s="12" t="s">
        <v>371</v>
      </c>
      <c r="H573" s="13" t="s">
        <v>558</v>
      </c>
    </row>
    <row r="574" customFormat="false" ht="60" hidden="false" customHeight="true" outlineLevel="0" collapsed="false">
      <c r="A574" s="12" t="s">
        <v>239</v>
      </c>
      <c r="B574" s="12" t="s">
        <v>519</v>
      </c>
      <c r="C574" s="13" t="s">
        <v>299</v>
      </c>
      <c r="D574" s="13" t="s">
        <v>559</v>
      </c>
      <c r="E574" s="13" t="s">
        <v>400</v>
      </c>
      <c r="F574" s="12" t="s">
        <v>274</v>
      </c>
      <c r="G574" s="12" t="s">
        <v>302</v>
      </c>
      <c r="H574" s="13" t="s">
        <v>560</v>
      </c>
    </row>
    <row r="575" customFormat="false" ht="60" hidden="false" customHeight="true" outlineLevel="0" collapsed="false">
      <c r="A575" s="12" t="s">
        <v>239</v>
      </c>
      <c r="B575" s="12" t="s">
        <v>400</v>
      </c>
      <c r="C575" s="13" t="s">
        <v>402</v>
      </c>
      <c r="D575" s="13" t="s">
        <v>519</v>
      </c>
      <c r="E575" s="13" t="s">
        <v>561</v>
      </c>
      <c r="F575" s="12" t="s">
        <v>274</v>
      </c>
      <c r="G575" s="12" t="s">
        <v>276</v>
      </c>
      <c r="H575" s="13" t="s">
        <v>570</v>
      </c>
    </row>
    <row r="576" customFormat="false" ht="60" hidden="false" customHeight="true" outlineLevel="0" collapsed="false">
      <c r="A576" s="12" t="s">
        <v>239</v>
      </c>
      <c r="B576" s="12" t="s">
        <v>561</v>
      </c>
      <c r="C576" s="13" t="s">
        <v>562</v>
      </c>
      <c r="D576" s="13" t="s">
        <v>400</v>
      </c>
      <c r="E576" s="13" t="s">
        <v>370</v>
      </c>
      <c r="F576" s="12" t="s">
        <v>274</v>
      </c>
      <c r="G576" s="12" t="s">
        <v>371</v>
      </c>
      <c r="H576" s="13" t="s">
        <v>563</v>
      </c>
    </row>
    <row r="577" customFormat="false" ht="60" hidden="false" customHeight="true" outlineLevel="0" collapsed="false">
      <c r="A577" s="12" t="s">
        <v>239</v>
      </c>
      <c r="B577" s="12" t="s">
        <v>370</v>
      </c>
      <c r="C577" s="13" t="s">
        <v>373</v>
      </c>
      <c r="D577" s="13" t="s">
        <v>561</v>
      </c>
      <c r="E577" s="13" t="s">
        <v>310</v>
      </c>
      <c r="F577" s="12" t="s">
        <v>274</v>
      </c>
      <c r="G577" s="12" t="s">
        <v>371</v>
      </c>
      <c r="H577" s="13" t="s">
        <v>564</v>
      </c>
    </row>
    <row r="578" customFormat="false" ht="60" hidden="false" customHeight="true" outlineLevel="0" collapsed="false">
      <c r="A578" s="12" t="s">
        <v>239</v>
      </c>
      <c r="B578" s="12" t="s">
        <v>310</v>
      </c>
      <c r="C578" s="13" t="s">
        <v>273</v>
      </c>
      <c r="D578" s="13" t="s">
        <v>370</v>
      </c>
      <c r="E578" s="13" t="s">
        <v>274</v>
      </c>
      <c r="F578" s="12" t="s">
        <v>274</v>
      </c>
      <c r="G578" s="12" t="s">
        <v>371</v>
      </c>
      <c r="H578" s="13" t="s">
        <v>315</v>
      </c>
    </row>
    <row r="579" customFormat="false" ht="60" hidden="false" customHeight="true" outlineLevel="0" collapsed="false">
      <c r="A579" s="12" t="s">
        <v>241</v>
      </c>
      <c r="B579" s="12" t="s">
        <v>272</v>
      </c>
      <c r="C579" s="13" t="s">
        <v>273</v>
      </c>
      <c r="D579" s="13" t="s">
        <v>274</v>
      </c>
      <c r="E579" s="13" t="s">
        <v>550</v>
      </c>
      <c r="F579" s="12" t="s">
        <v>274</v>
      </c>
      <c r="G579" s="12" t="s">
        <v>276</v>
      </c>
      <c r="H579" s="13" t="s">
        <v>277</v>
      </c>
    </row>
    <row r="580" customFormat="false" ht="60" hidden="false" customHeight="true" outlineLevel="0" collapsed="false">
      <c r="A580" s="12" t="s">
        <v>241</v>
      </c>
      <c r="B580" s="12" t="s">
        <v>550</v>
      </c>
      <c r="C580" s="13" t="s">
        <v>359</v>
      </c>
      <c r="D580" s="13" t="s">
        <v>272</v>
      </c>
      <c r="E580" s="13" t="s">
        <v>551</v>
      </c>
      <c r="F580" s="12" t="s">
        <v>274</v>
      </c>
      <c r="G580" s="12" t="s">
        <v>276</v>
      </c>
      <c r="H580" s="13" t="s">
        <v>571</v>
      </c>
    </row>
    <row r="581" customFormat="false" ht="60" hidden="false" customHeight="true" outlineLevel="0" collapsed="false">
      <c r="A581" s="12" t="s">
        <v>241</v>
      </c>
      <c r="B581" s="12" t="s">
        <v>551</v>
      </c>
      <c r="C581" s="13" t="s">
        <v>553</v>
      </c>
      <c r="D581" s="13" t="s">
        <v>550</v>
      </c>
      <c r="E581" s="13" t="s">
        <v>519</v>
      </c>
      <c r="F581" s="12" t="s">
        <v>554</v>
      </c>
      <c r="G581" s="12" t="s">
        <v>371</v>
      </c>
      <c r="H581" s="13" t="s">
        <v>555</v>
      </c>
    </row>
    <row r="582" customFormat="false" ht="60" hidden="false" customHeight="true" outlineLevel="0" collapsed="false">
      <c r="A582" s="12" t="s">
        <v>241</v>
      </c>
      <c r="B582" s="12" t="s">
        <v>556</v>
      </c>
      <c r="C582" s="13" t="s">
        <v>557</v>
      </c>
      <c r="D582" s="13" t="s">
        <v>550</v>
      </c>
      <c r="E582" s="13" t="s">
        <v>519</v>
      </c>
      <c r="F582" s="12" t="s">
        <v>274</v>
      </c>
      <c r="G582" s="12" t="s">
        <v>371</v>
      </c>
      <c r="H582" s="13" t="s">
        <v>558</v>
      </c>
    </row>
    <row r="583" customFormat="false" ht="60" hidden="false" customHeight="true" outlineLevel="0" collapsed="false">
      <c r="A583" s="12" t="s">
        <v>241</v>
      </c>
      <c r="B583" s="12" t="s">
        <v>519</v>
      </c>
      <c r="C583" s="13" t="s">
        <v>299</v>
      </c>
      <c r="D583" s="13" t="s">
        <v>559</v>
      </c>
      <c r="E583" s="13" t="s">
        <v>400</v>
      </c>
      <c r="F583" s="12" t="s">
        <v>274</v>
      </c>
      <c r="G583" s="12" t="s">
        <v>302</v>
      </c>
      <c r="H583" s="13" t="s">
        <v>560</v>
      </c>
    </row>
    <row r="584" customFormat="false" ht="60" hidden="false" customHeight="true" outlineLevel="0" collapsed="false">
      <c r="A584" s="12" t="s">
        <v>241</v>
      </c>
      <c r="B584" s="12" t="s">
        <v>400</v>
      </c>
      <c r="C584" s="13" t="s">
        <v>402</v>
      </c>
      <c r="D584" s="13" t="s">
        <v>519</v>
      </c>
      <c r="E584" s="13" t="s">
        <v>561</v>
      </c>
      <c r="F584" s="12" t="s">
        <v>274</v>
      </c>
      <c r="G584" s="12" t="s">
        <v>276</v>
      </c>
      <c r="H584" s="13" t="s">
        <v>572</v>
      </c>
    </row>
    <row r="585" customFormat="false" ht="60" hidden="false" customHeight="true" outlineLevel="0" collapsed="false">
      <c r="A585" s="12" t="s">
        <v>241</v>
      </c>
      <c r="B585" s="12" t="s">
        <v>561</v>
      </c>
      <c r="C585" s="13" t="s">
        <v>562</v>
      </c>
      <c r="D585" s="13" t="s">
        <v>400</v>
      </c>
      <c r="E585" s="13" t="s">
        <v>370</v>
      </c>
      <c r="F585" s="12" t="s">
        <v>274</v>
      </c>
      <c r="G585" s="12" t="s">
        <v>371</v>
      </c>
      <c r="H585" s="13" t="s">
        <v>563</v>
      </c>
    </row>
    <row r="586" customFormat="false" ht="60" hidden="false" customHeight="true" outlineLevel="0" collapsed="false">
      <c r="A586" s="12" t="s">
        <v>241</v>
      </c>
      <c r="B586" s="12" t="s">
        <v>370</v>
      </c>
      <c r="C586" s="13" t="s">
        <v>373</v>
      </c>
      <c r="D586" s="13" t="s">
        <v>561</v>
      </c>
      <c r="E586" s="13" t="s">
        <v>310</v>
      </c>
      <c r="F586" s="12" t="s">
        <v>274</v>
      </c>
      <c r="G586" s="12" t="s">
        <v>371</v>
      </c>
      <c r="H586" s="13" t="s">
        <v>564</v>
      </c>
    </row>
    <row r="587" customFormat="false" ht="60" hidden="false" customHeight="true" outlineLevel="0" collapsed="false">
      <c r="A587" s="12" t="s">
        <v>241</v>
      </c>
      <c r="B587" s="12" t="s">
        <v>310</v>
      </c>
      <c r="C587" s="13" t="s">
        <v>273</v>
      </c>
      <c r="D587" s="13" t="s">
        <v>370</v>
      </c>
      <c r="E587" s="13" t="s">
        <v>274</v>
      </c>
      <c r="F587" s="12" t="s">
        <v>274</v>
      </c>
      <c r="G587" s="12" t="s">
        <v>371</v>
      </c>
      <c r="H587" s="13" t="s">
        <v>315</v>
      </c>
    </row>
    <row r="588" customFormat="false" ht="60" hidden="false" customHeight="true" outlineLevel="0" collapsed="false">
      <c r="A588" s="12" t="s">
        <v>244</v>
      </c>
      <c r="B588" s="12" t="s">
        <v>272</v>
      </c>
      <c r="C588" s="13" t="s">
        <v>273</v>
      </c>
      <c r="D588" s="13" t="s">
        <v>274</v>
      </c>
      <c r="E588" s="13" t="s">
        <v>550</v>
      </c>
      <c r="F588" s="12" t="s">
        <v>274</v>
      </c>
      <c r="G588" s="12" t="s">
        <v>276</v>
      </c>
      <c r="H588" s="13" t="s">
        <v>277</v>
      </c>
    </row>
    <row r="589" customFormat="false" ht="60" hidden="false" customHeight="true" outlineLevel="0" collapsed="false">
      <c r="A589" s="12" t="s">
        <v>244</v>
      </c>
      <c r="B589" s="12" t="s">
        <v>550</v>
      </c>
      <c r="C589" s="13" t="s">
        <v>359</v>
      </c>
      <c r="D589" s="13" t="s">
        <v>272</v>
      </c>
      <c r="E589" s="13" t="s">
        <v>551</v>
      </c>
      <c r="F589" s="12" t="s">
        <v>274</v>
      </c>
      <c r="G589" s="12" t="s">
        <v>276</v>
      </c>
      <c r="H589" s="13" t="s">
        <v>573</v>
      </c>
    </row>
    <row r="590" customFormat="false" ht="60" hidden="false" customHeight="true" outlineLevel="0" collapsed="false">
      <c r="A590" s="12" t="s">
        <v>244</v>
      </c>
      <c r="B590" s="12" t="s">
        <v>551</v>
      </c>
      <c r="C590" s="13" t="s">
        <v>553</v>
      </c>
      <c r="D590" s="13" t="s">
        <v>550</v>
      </c>
      <c r="E590" s="13" t="s">
        <v>519</v>
      </c>
      <c r="F590" s="12" t="s">
        <v>554</v>
      </c>
      <c r="G590" s="12" t="s">
        <v>371</v>
      </c>
      <c r="H590" s="13" t="s">
        <v>555</v>
      </c>
    </row>
    <row r="591" customFormat="false" ht="60" hidden="false" customHeight="true" outlineLevel="0" collapsed="false">
      <c r="A591" s="12" t="s">
        <v>244</v>
      </c>
      <c r="B591" s="12" t="s">
        <v>556</v>
      </c>
      <c r="C591" s="13" t="s">
        <v>557</v>
      </c>
      <c r="D591" s="13" t="s">
        <v>550</v>
      </c>
      <c r="E591" s="13" t="s">
        <v>519</v>
      </c>
      <c r="F591" s="12" t="s">
        <v>274</v>
      </c>
      <c r="G591" s="12" t="s">
        <v>371</v>
      </c>
      <c r="H591" s="13" t="s">
        <v>558</v>
      </c>
    </row>
    <row r="592" customFormat="false" ht="60" hidden="false" customHeight="true" outlineLevel="0" collapsed="false">
      <c r="A592" s="12" t="s">
        <v>244</v>
      </c>
      <c r="B592" s="12" t="s">
        <v>519</v>
      </c>
      <c r="C592" s="13" t="s">
        <v>299</v>
      </c>
      <c r="D592" s="13" t="s">
        <v>559</v>
      </c>
      <c r="E592" s="13" t="s">
        <v>400</v>
      </c>
      <c r="F592" s="12" t="s">
        <v>274</v>
      </c>
      <c r="G592" s="12" t="s">
        <v>302</v>
      </c>
      <c r="H592" s="13" t="s">
        <v>560</v>
      </c>
    </row>
    <row r="593" customFormat="false" ht="60" hidden="false" customHeight="true" outlineLevel="0" collapsed="false">
      <c r="A593" s="12" t="s">
        <v>244</v>
      </c>
      <c r="B593" s="12" t="s">
        <v>400</v>
      </c>
      <c r="C593" s="13" t="s">
        <v>402</v>
      </c>
      <c r="D593" s="13" t="s">
        <v>519</v>
      </c>
      <c r="E593" s="13" t="s">
        <v>561</v>
      </c>
      <c r="F593" s="12" t="s">
        <v>274</v>
      </c>
      <c r="G593" s="12" t="s">
        <v>276</v>
      </c>
      <c r="H593" s="13" t="s">
        <v>574</v>
      </c>
    </row>
    <row r="594" customFormat="false" ht="60" hidden="false" customHeight="true" outlineLevel="0" collapsed="false">
      <c r="A594" s="12" t="s">
        <v>244</v>
      </c>
      <c r="B594" s="12" t="s">
        <v>561</v>
      </c>
      <c r="C594" s="13" t="s">
        <v>562</v>
      </c>
      <c r="D594" s="13" t="s">
        <v>400</v>
      </c>
      <c r="E594" s="13" t="s">
        <v>370</v>
      </c>
      <c r="F594" s="12" t="s">
        <v>274</v>
      </c>
      <c r="G594" s="12" t="s">
        <v>371</v>
      </c>
      <c r="H594" s="13" t="s">
        <v>563</v>
      </c>
    </row>
    <row r="595" customFormat="false" ht="60" hidden="false" customHeight="true" outlineLevel="0" collapsed="false">
      <c r="A595" s="12" t="s">
        <v>244</v>
      </c>
      <c r="B595" s="12" t="s">
        <v>370</v>
      </c>
      <c r="C595" s="13" t="s">
        <v>373</v>
      </c>
      <c r="D595" s="13" t="s">
        <v>561</v>
      </c>
      <c r="E595" s="13" t="s">
        <v>310</v>
      </c>
      <c r="F595" s="12" t="s">
        <v>274</v>
      </c>
      <c r="G595" s="12" t="s">
        <v>371</v>
      </c>
      <c r="H595" s="13" t="s">
        <v>564</v>
      </c>
    </row>
    <row r="596" customFormat="false" ht="60" hidden="false" customHeight="true" outlineLevel="0" collapsed="false">
      <c r="A596" s="12" t="s">
        <v>244</v>
      </c>
      <c r="B596" s="12" t="s">
        <v>310</v>
      </c>
      <c r="C596" s="13" t="s">
        <v>273</v>
      </c>
      <c r="D596" s="13" t="s">
        <v>370</v>
      </c>
      <c r="E596" s="13" t="s">
        <v>274</v>
      </c>
      <c r="F596" s="12" t="s">
        <v>274</v>
      </c>
      <c r="G596" s="12" t="s">
        <v>371</v>
      </c>
      <c r="H596" s="13" t="s">
        <v>315</v>
      </c>
    </row>
    <row r="597" customFormat="false" ht="60" hidden="false" customHeight="true" outlineLevel="0" collapsed="false">
      <c r="A597" s="12" t="s">
        <v>247</v>
      </c>
      <c r="B597" s="12" t="s">
        <v>272</v>
      </c>
      <c r="C597" s="13" t="s">
        <v>273</v>
      </c>
      <c r="D597" s="13" t="s">
        <v>274</v>
      </c>
      <c r="E597" s="13" t="s">
        <v>550</v>
      </c>
      <c r="F597" s="12" t="s">
        <v>274</v>
      </c>
      <c r="G597" s="12" t="s">
        <v>276</v>
      </c>
      <c r="H597" s="13" t="s">
        <v>277</v>
      </c>
    </row>
    <row r="598" customFormat="false" ht="60" hidden="false" customHeight="true" outlineLevel="0" collapsed="false">
      <c r="A598" s="12" t="s">
        <v>247</v>
      </c>
      <c r="B598" s="12" t="s">
        <v>550</v>
      </c>
      <c r="C598" s="13" t="s">
        <v>359</v>
      </c>
      <c r="D598" s="13" t="s">
        <v>272</v>
      </c>
      <c r="E598" s="13" t="s">
        <v>551</v>
      </c>
      <c r="F598" s="12" t="s">
        <v>274</v>
      </c>
      <c r="G598" s="12" t="s">
        <v>276</v>
      </c>
      <c r="H598" s="13" t="s">
        <v>575</v>
      </c>
    </row>
    <row r="599" customFormat="false" ht="60" hidden="false" customHeight="true" outlineLevel="0" collapsed="false">
      <c r="A599" s="12" t="s">
        <v>247</v>
      </c>
      <c r="B599" s="12" t="s">
        <v>551</v>
      </c>
      <c r="C599" s="13" t="s">
        <v>553</v>
      </c>
      <c r="D599" s="13" t="s">
        <v>550</v>
      </c>
      <c r="E599" s="13" t="s">
        <v>519</v>
      </c>
      <c r="F599" s="12" t="s">
        <v>554</v>
      </c>
      <c r="G599" s="12" t="s">
        <v>371</v>
      </c>
      <c r="H599" s="13" t="s">
        <v>555</v>
      </c>
    </row>
    <row r="600" customFormat="false" ht="60" hidden="false" customHeight="true" outlineLevel="0" collapsed="false">
      <c r="A600" s="12" t="s">
        <v>247</v>
      </c>
      <c r="B600" s="12" t="s">
        <v>556</v>
      </c>
      <c r="C600" s="13" t="s">
        <v>557</v>
      </c>
      <c r="D600" s="13" t="s">
        <v>550</v>
      </c>
      <c r="E600" s="13" t="s">
        <v>519</v>
      </c>
      <c r="F600" s="12" t="s">
        <v>274</v>
      </c>
      <c r="G600" s="12" t="s">
        <v>371</v>
      </c>
      <c r="H600" s="13" t="s">
        <v>558</v>
      </c>
    </row>
    <row r="601" customFormat="false" ht="60" hidden="false" customHeight="true" outlineLevel="0" collapsed="false">
      <c r="A601" s="12" t="s">
        <v>247</v>
      </c>
      <c r="B601" s="12" t="s">
        <v>519</v>
      </c>
      <c r="C601" s="13" t="s">
        <v>299</v>
      </c>
      <c r="D601" s="13" t="s">
        <v>559</v>
      </c>
      <c r="E601" s="13" t="s">
        <v>400</v>
      </c>
      <c r="F601" s="12" t="s">
        <v>274</v>
      </c>
      <c r="G601" s="12" t="s">
        <v>302</v>
      </c>
      <c r="H601" s="13" t="s">
        <v>560</v>
      </c>
    </row>
    <row r="602" customFormat="false" ht="60" hidden="false" customHeight="true" outlineLevel="0" collapsed="false">
      <c r="A602" s="12" t="s">
        <v>247</v>
      </c>
      <c r="B602" s="12" t="s">
        <v>400</v>
      </c>
      <c r="C602" s="13" t="s">
        <v>402</v>
      </c>
      <c r="D602" s="13" t="s">
        <v>519</v>
      </c>
      <c r="E602" s="13" t="s">
        <v>561</v>
      </c>
      <c r="F602" s="12" t="s">
        <v>274</v>
      </c>
      <c r="G602" s="12" t="s">
        <v>276</v>
      </c>
      <c r="H602" s="13" t="s">
        <v>576</v>
      </c>
    </row>
    <row r="603" customFormat="false" ht="60" hidden="false" customHeight="true" outlineLevel="0" collapsed="false">
      <c r="A603" s="12" t="s">
        <v>247</v>
      </c>
      <c r="B603" s="12" t="s">
        <v>561</v>
      </c>
      <c r="C603" s="13" t="s">
        <v>562</v>
      </c>
      <c r="D603" s="13" t="s">
        <v>400</v>
      </c>
      <c r="E603" s="13" t="s">
        <v>370</v>
      </c>
      <c r="F603" s="12" t="s">
        <v>274</v>
      </c>
      <c r="G603" s="12" t="s">
        <v>371</v>
      </c>
      <c r="H603" s="13" t="s">
        <v>563</v>
      </c>
    </row>
    <row r="604" customFormat="false" ht="60" hidden="false" customHeight="true" outlineLevel="0" collapsed="false">
      <c r="A604" s="12" t="s">
        <v>247</v>
      </c>
      <c r="B604" s="12" t="s">
        <v>370</v>
      </c>
      <c r="C604" s="13" t="s">
        <v>373</v>
      </c>
      <c r="D604" s="13" t="s">
        <v>561</v>
      </c>
      <c r="E604" s="13" t="s">
        <v>310</v>
      </c>
      <c r="F604" s="12" t="s">
        <v>274</v>
      </c>
      <c r="G604" s="12" t="s">
        <v>371</v>
      </c>
      <c r="H604" s="13" t="s">
        <v>564</v>
      </c>
    </row>
    <row r="605" customFormat="false" ht="60" hidden="false" customHeight="true" outlineLevel="0" collapsed="false">
      <c r="A605" s="12" t="s">
        <v>247</v>
      </c>
      <c r="B605" s="12" t="s">
        <v>310</v>
      </c>
      <c r="C605" s="13" t="s">
        <v>273</v>
      </c>
      <c r="D605" s="13" t="s">
        <v>370</v>
      </c>
      <c r="E605" s="13" t="s">
        <v>274</v>
      </c>
      <c r="F605" s="12" t="s">
        <v>274</v>
      </c>
      <c r="G605" s="12" t="s">
        <v>371</v>
      </c>
      <c r="H605" s="13" t="s">
        <v>315</v>
      </c>
    </row>
    <row r="606" customFormat="false" ht="60" hidden="false" customHeight="true" outlineLevel="0" collapsed="false">
      <c r="A606" s="12" t="s">
        <v>250</v>
      </c>
      <c r="B606" s="12" t="s">
        <v>272</v>
      </c>
      <c r="C606" s="13" t="s">
        <v>273</v>
      </c>
      <c r="D606" s="13" t="s">
        <v>274</v>
      </c>
      <c r="E606" s="13" t="s">
        <v>427</v>
      </c>
      <c r="F606" s="12" t="s">
        <v>274</v>
      </c>
      <c r="G606" s="12" t="s">
        <v>276</v>
      </c>
      <c r="H606" s="13" t="s">
        <v>277</v>
      </c>
    </row>
    <row r="607" customFormat="false" ht="60" hidden="false" customHeight="true" outlineLevel="0" collapsed="false">
      <c r="A607" s="12" t="s">
        <v>250</v>
      </c>
      <c r="B607" s="12" t="s">
        <v>427</v>
      </c>
      <c r="C607" s="13" t="s">
        <v>359</v>
      </c>
      <c r="D607" s="13" t="s">
        <v>272</v>
      </c>
      <c r="E607" s="13" t="s">
        <v>577</v>
      </c>
      <c r="F607" s="12" t="s">
        <v>274</v>
      </c>
      <c r="G607" s="12" t="s">
        <v>276</v>
      </c>
      <c r="H607" s="13" t="s">
        <v>428</v>
      </c>
    </row>
    <row r="608" customFormat="false" ht="60" hidden="false" customHeight="true" outlineLevel="0" collapsed="false">
      <c r="A608" s="12" t="s">
        <v>250</v>
      </c>
      <c r="B608" s="12" t="s">
        <v>577</v>
      </c>
      <c r="C608" s="13" t="s">
        <v>578</v>
      </c>
      <c r="D608" s="13" t="s">
        <v>427</v>
      </c>
      <c r="E608" s="13" t="s">
        <v>579</v>
      </c>
      <c r="F608" s="12" t="s">
        <v>274</v>
      </c>
      <c r="G608" s="12" t="s">
        <v>276</v>
      </c>
      <c r="H608" s="13" t="s">
        <v>580</v>
      </c>
    </row>
    <row r="609" customFormat="false" ht="60" hidden="false" customHeight="true" outlineLevel="0" collapsed="false">
      <c r="A609" s="12" t="s">
        <v>250</v>
      </c>
      <c r="B609" s="12" t="s">
        <v>579</v>
      </c>
      <c r="C609" s="13" t="s">
        <v>581</v>
      </c>
      <c r="D609" s="13" t="s">
        <v>577</v>
      </c>
      <c r="E609" s="13" t="s">
        <v>582</v>
      </c>
      <c r="F609" s="12" t="s">
        <v>274</v>
      </c>
      <c r="G609" s="12" t="s">
        <v>276</v>
      </c>
      <c r="H609" s="13" t="s">
        <v>583</v>
      </c>
    </row>
    <row r="610" customFormat="false" ht="60" hidden="false" customHeight="true" outlineLevel="0" collapsed="false">
      <c r="A610" s="12" t="s">
        <v>250</v>
      </c>
      <c r="B610" s="12" t="s">
        <v>582</v>
      </c>
      <c r="C610" s="13" t="s">
        <v>281</v>
      </c>
      <c r="D610" s="13" t="s">
        <v>579</v>
      </c>
      <c r="E610" s="13" t="s">
        <v>584</v>
      </c>
      <c r="F610" s="12" t="s">
        <v>274</v>
      </c>
      <c r="G610" s="12" t="s">
        <v>371</v>
      </c>
      <c r="H610" s="13" t="s">
        <v>585</v>
      </c>
    </row>
    <row r="611" customFormat="false" ht="60" hidden="false" customHeight="true" outlineLevel="0" collapsed="false">
      <c r="A611" s="12" t="s">
        <v>250</v>
      </c>
      <c r="B611" s="12" t="s">
        <v>586</v>
      </c>
      <c r="C611" s="13" t="s">
        <v>273</v>
      </c>
      <c r="D611" s="13" t="s">
        <v>582</v>
      </c>
      <c r="E611" s="13" t="s">
        <v>400</v>
      </c>
      <c r="F611" s="12" t="s">
        <v>274</v>
      </c>
      <c r="G611" s="12" t="s">
        <v>276</v>
      </c>
      <c r="H611" s="13" t="s">
        <v>587</v>
      </c>
    </row>
    <row r="612" customFormat="false" ht="60" hidden="false" customHeight="true" outlineLevel="0" collapsed="false">
      <c r="A612" s="12" t="s">
        <v>250</v>
      </c>
      <c r="B612" s="12" t="s">
        <v>588</v>
      </c>
      <c r="C612" s="13" t="s">
        <v>589</v>
      </c>
      <c r="D612" s="13" t="s">
        <v>582</v>
      </c>
      <c r="E612" s="13" t="s">
        <v>590</v>
      </c>
      <c r="F612" s="12" t="s">
        <v>274</v>
      </c>
      <c r="G612" s="12" t="s">
        <v>276</v>
      </c>
      <c r="H612" s="13" t="s">
        <v>591</v>
      </c>
    </row>
    <row r="613" customFormat="false" ht="60" hidden="false" customHeight="true" outlineLevel="0" collapsed="false">
      <c r="A613" s="12" t="s">
        <v>250</v>
      </c>
      <c r="B613" s="12" t="s">
        <v>590</v>
      </c>
      <c r="C613" s="13" t="s">
        <v>592</v>
      </c>
      <c r="D613" s="13" t="s">
        <v>588</v>
      </c>
      <c r="E613" s="13" t="s">
        <v>454</v>
      </c>
      <c r="F613" s="12" t="s">
        <v>274</v>
      </c>
      <c r="G613" s="12" t="s">
        <v>276</v>
      </c>
      <c r="H613" s="13" t="s">
        <v>593</v>
      </c>
    </row>
    <row r="614" customFormat="false" ht="60" hidden="false" customHeight="true" outlineLevel="0" collapsed="false">
      <c r="A614" s="12" t="s">
        <v>250</v>
      </c>
      <c r="B614" s="12" t="s">
        <v>400</v>
      </c>
      <c r="C614" s="13" t="s">
        <v>402</v>
      </c>
      <c r="D614" s="13" t="s">
        <v>586</v>
      </c>
      <c r="E614" s="13" t="s">
        <v>454</v>
      </c>
      <c r="F614" s="12" t="s">
        <v>274</v>
      </c>
      <c r="G614" s="12" t="s">
        <v>276</v>
      </c>
      <c r="H614" s="13" t="s">
        <v>594</v>
      </c>
    </row>
    <row r="615" customFormat="false" ht="60" hidden="false" customHeight="true" outlineLevel="0" collapsed="false">
      <c r="A615" s="12" t="s">
        <v>250</v>
      </c>
      <c r="B615" s="12" t="s">
        <v>454</v>
      </c>
      <c r="C615" s="13" t="s">
        <v>299</v>
      </c>
      <c r="D615" s="13" t="s">
        <v>595</v>
      </c>
      <c r="E615" s="13" t="s">
        <v>596</v>
      </c>
      <c r="F615" s="12" t="s">
        <v>274</v>
      </c>
      <c r="G615" s="12" t="s">
        <v>302</v>
      </c>
      <c r="H615" s="13" t="s">
        <v>459</v>
      </c>
    </row>
    <row r="616" customFormat="false" ht="60" hidden="false" customHeight="true" outlineLevel="0" collapsed="false">
      <c r="A616" s="12" t="s">
        <v>250</v>
      </c>
      <c r="B616" s="12" t="s">
        <v>596</v>
      </c>
      <c r="C616" s="13" t="s">
        <v>597</v>
      </c>
      <c r="D616" s="13" t="s">
        <v>454</v>
      </c>
      <c r="E616" s="13" t="s">
        <v>310</v>
      </c>
      <c r="F616" s="12" t="s">
        <v>274</v>
      </c>
      <c r="G616" s="12" t="s">
        <v>371</v>
      </c>
      <c r="H616" s="13" t="s">
        <v>598</v>
      </c>
    </row>
    <row r="617" customFormat="false" ht="60" hidden="false" customHeight="true" outlineLevel="0" collapsed="false">
      <c r="A617" s="12" t="s">
        <v>250</v>
      </c>
      <c r="B617" s="12" t="s">
        <v>310</v>
      </c>
      <c r="C617" s="13" t="s">
        <v>273</v>
      </c>
      <c r="D617" s="13" t="s">
        <v>596</v>
      </c>
      <c r="E617" s="13" t="s">
        <v>274</v>
      </c>
      <c r="F617" s="12" t="s">
        <v>274</v>
      </c>
      <c r="G617" s="12" t="s">
        <v>371</v>
      </c>
      <c r="H617" s="13" t="s">
        <v>315</v>
      </c>
    </row>
    <row r="618" customFormat="false" ht="60" hidden="false" customHeight="true" outlineLevel="0" collapsed="false">
      <c r="A618" s="12" t="s">
        <v>252</v>
      </c>
      <c r="B618" s="12" t="s">
        <v>272</v>
      </c>
      <c r="C618" s="13" t="s">
        <v>273</v>
      </c>
      <c r="D618" s="13" t="s">
        <v>274</v>
      </c>
      <c r="E618" s="13" t="s">
        <v>430</v>
      </c>
      <c r="F618" s="12" t="s">
        <v>274</v>
      </c>
      <c r="G618" s="12" t="s">
        <v>276</v>
      </c>
      <c r="H618" s="13" t="s">
        <v>277</v>
      </c>
    </row>
    <row r="619" customFormat="false" ht="60" hidden="false" customHeight="true" outlineLevel="0" collapsed="false">
      <c r="A619" s="12" t="s">
        <v>252</v>
      </c>
      <c r="B619" s="12" t="s">
        <v>430</v>
      </c>
      <c r="C619" s="13" t="s">
        <v>359</v>
      </c>
      <c r="D619" s="13" t="s">
        <v>272</v>
      </c>
      <c r="E619" s="13" t="s">
        <v>577</v>
      </c>
      <c r="F619" s="12" t="s">
        <v>274</v>
      </c>
      <c r="G619" s="12" t="s">
        <v>276</v>
      </c>
      <c r="H619" s="13" t="s">
        <v>431</v>
      </c>
    </row>
    <row r="620" customFormat="false" ht="60" hidden="false" customHeight="true" outlineLevel="0" collapsed="false">
      <c r="A620" s="12" t="s">
        <v>252</v>
      </c>
      <c r="B620" s="12" t="s">
        <v>577</v>
      </c>
      <c r="C620" s="13" t="s">
        <v>578</v>
      </c>
      <c r="D620" s="13" t="s">
        <v>430</v>
      </c>
      <c r="E620" s="13" t="s">
        <v>579</v>
      </c>
      <c r="F620" s="12" t="s">
        <v>274</v>
      </c>
      <c r="G620" s="12" t="s">
        <v>276</v>
      </c>
      <c r="H620" s="13" t="s">
        <v>580</v>
      </c>
    </row>
    <row r="621" customFormat="false" ht="60" hidden="false" customHeight="true" outlineLevel="0" collapsed="false">
      <c r="A621" s="12" t="s">
        <v>252</v>
      </c>
      <c r="B621" s="12" t="s">
        <v>579</v>
      </c>
      <c r="C621" s="13" t="s">
        <v>581</v>
      </c>
      <c r="D621" s="13" t="s">
        <v>577</v>
      </c>
      <c r="E621" s="13" t="s">
        <v>582</v>
      </c>
      <c r="F621" s="12" t="s">
        <v>274</v>
      </c>
      <c r="G621" s="12" t="s">
        <v>276</v>
      </c>
      <c r="H621" s="13" t="s">
        <v>583</v>
      </c>
    </row>
    <row r="622" customFormat="false" ht="60" hidden="false" customHeight="true" outlineLevel="0" collapsed="false">
      <c r="A622" s="12" t="s">
        <v>252</v>
      </c>
      <c r="B622" s="12" t="s">
        <v>582</v>
      </c>
      <c r="C622" s="13" t="s">
        <v>281</v>
      </c>
      <c r="D622" s="13" t="s">
        <v>579</v>
      </c>
      <c r="E622" s="13" t="s">
        <v>584</v>
      </c>
      <c r="F622" s="12" t="s">
        <v>274</v>
      </c>
      <c r="G622" s="12" t="s">
        <v>371</v>
      </c>
      <c r="H622" s="13" t="s">
        <v>585</v>
      </c>
    </row>
    <row r="623" customFormat="false" ht="60" hidden="false" customHeight="true" outlineLevel="0" collapsed="false">
      <c r="A623" s="12" t="s">
        <v>252</v>
      </c>
      <c r="B623" s="12" t="s">
        <v>586</v>
      </c>
      <c r="C623" s="13" t="s">
        <v>273</v>
      </c>
      <c r="D623" s="13" t="s">
        <v>582</v>
      </c>
      <c r="E623" s="13" t="s">
        <v>400</v>
      </c>
      <c r="F623" s="12" t="s">
        <v>274</v>
      </c>
      <c r="G623" s="12" t="s">
        <v>276</v>
      </c>
      <c r="H623" s="13" t="s">
        <v>587</v>
      </c>
    </row>
    <row r="624" customFormat="false" ht="60" hidden="false" customHeight="true" outlineLevel="0" collapsed="false">
      <c r="A624" s="12" t="s">
        <v>252</v>
      </c>
      <c r="B624" s="12" t="s">
        <v>588</v>
      </c>
      <c r="C624" s="13" t="s">
        <v>589</v>
      </c>
      <c r="D624" s="13" t="s">
        <v>582</v>
      </c>
      <c r="E624" s="13" t="s">
        <v>590</v>
      </c>
      <c r="F624" s="12" t="s">
        <v>274</v>
      </c>
      <c r="G624" s="12" t="s">
        <v>276</v>
      </c>
      <c r="H624" s="13" t="s">
        <v>591</v>
      </c>
    </row>
    <row r="625" customFormat="false" ht="60" hidden="false" customHeight="true" outlineLevel="0" collapsed="false">
      <c r="A625" s="12" t="s">
        <v>252</v>
      </c>
      <c r="B625" s="12" t="s">
        <v>590</v>
      </c>
      <c r="C625" s="13" t="s">
        <v>592</v>
      </c>
      <c r="D625" s="13" t="s">
        <v>588</v>
      </c>
      <c r="E625" s="13" t="s">
        <v>454</v>
      </c>
      <c r="F625" s="12" t="s">
        <v>274</v>
      </c>
      <c r="G625" s="12" t="s">
        <v>276</v>
      </c>
      <c r="H625" s="13" t="s">
        <v>593</v>
      </c>
    </row>
    <row r="626" customFormat="false" ht="60" hidden="false" customHeight="true" outlineLevel="0" collapsed="false">
      <c r="A626" s="12" t="s">
        <v>252</v>
      </c>
      <c r="B626" s="12" t="s">
        <v>400</v>
      </c>
      <c r="C626" s="13" t="s">
        <v>402</v>
      </c>
      <c r="D626" s="13" t="s">
        <v>586</v>
      </c>
      <c r="E626" s="13" t="s">
        <v>454</v>
      </c>
      <c r="F626" s="12" t="s">
        <v>274</v>
      </c>
      <c r="G626" s="12" t="s">
        <v>276</v>
      </c>
      <c r="H626" s="13" t="s">
        <v>599</v>
      </c>
    </row>
    <row r="627" customFormat="false" ht="60" hidden="false" customHeight="true" outlineLevel="0" collapsed="false">
      <c r="A627" s="12" t="s">
        <v>252</v>
      </c>
      <c r="B627" s="12" t="s">
        <v>454</v>
      </c>
      <c r="C627" s="13" t="s">
        <v>299</v>
      </c>
      <c r="D627" s="13" t="s">
        <v>595</v>
      </c>
      <c r="E627" s="13" t="s">
        <v>596</v>
      </c>
      <c r="F627" s="12" t="s">
        <v>274</v>
      </c>
      <c r="G627" s="12" t="s">
        <v>302</v>
      </c>
      <c r="H627" s="13" t="s">
        <v>459</v>
      </c>
    </row>
    <row r="628" customFormat="false" ht="60" hidden="false" customHeight="true" outlineLevel="0" collapsed="false">
      <c r="A628" s="12" t="s">
        <v>252</v>
      </c>
      <c r="B628" s="12" t="s">
        <v>596</v>
      </c>
      <c r="C628" s="13" t="s">
        <v>597</v>
      </c>
      <c r="D628" s="13" t="s">
        <v>454</v>
      </c>
      <c r="E628" s="13" t="s">
        <v>310</v>
      </c>
      <c r="F628" s="12" t="s">
        <v>274</v>
      </c>
      <c r="G628" s="12" t="s">
        <v>371</v>
      </c>
      <c r="H628" s="13" t="s">
        <v>598</v>
      </c>
    </row>
    <row r="629" customFormat="false" ht="60" hidden="false" customHeight="true" outlineLevel="0" collapsed="false">
      <c r="A629" s="12" t="s">
        <v>252</v>
      </c>
      <c r="B629" s="12" t="s">
        <v>310</v>
      </c>
      <c r="C629" s="13" t="s">
        <v>273</v>
      </c>
      <c r="D629" s="13" t="s">
        <v>596</v>
      </c>
      <c r="E629" s="13" t="s">
        <v>274</v>
      </c>
      <c r="F629" s="12" t="s">
        <v>274</v>
      </c>
      <c r="G629" s="12" t="s">
        <v>371</v>
      </c>
      <c r="H629" s="13" t="s">
        <v>315</v>
      </c>
    </row>
    <row r="630" customFormat="false" ht="60" hidden="false" customHeight="true" outlineLevel="0" collapsed="false">
      <c r="A630" s="12" t="s">
        <v>254</v>
      </c>
      <c r="B630" s="12" t="s">
        <v>272</v>
      </c>
      <c r="C630" s="13" t="s">
        <v>273</v>
      </c>
      <c r="D630" s="13" t="s">
        <v>274</v>
      </c>
      <c r="E630" s="13" t="s">
        <v>600</v>
      </c>
      <c r="F630" s="12" t="s">
        <v>274</v>
      </c>
      <c r="G630" s="12" t="s">
        <v>276</v>
      </c>
      <c r="H630" s="13" t="s">
        <v>277</v>
      </c>
    </row>
    <row r="631" customFormat="false" ht="60" hidden="false" customHeight="true" outlineLevel="0" collapsed="false">
      <c r="A631" s="12" t="s">
        <v>254</v>
      </c>
      <c r="B631" s="12" t="s">
        <v>600</v>
      </c>
      <c r="C631" s="13" t="s">
        <v>359</v>
      </c>
      <c r="D631" s="13" t="s">
        <v>272</v>
      </c>
      <c r="E631" s="13" t="s">
        <v>577</v>
      </c>
      <c r="F631" s="12" t="s">
        <v>274</v>
      </c>
      <c r="G631" s="12" t="s">
        <v>276</v>
      </c>
      <c r="H631" s="13" t="s">
        <v>601</v>
      </c>
    </row>
    <row r="632" customFormat="false" ht="60" hidden="false" customHeight="true" outlineLevel="0" collapsed="false">
      <c r="A632" s="12" t="s">
        <v>254</v>
      </c>
      <c r="B632" s="12" t="s">
        <v>577</v>
      </c>
      <c r="C632" s="13" t="s">
        <v>578</v>
      </c>
      <c r="D632" s="13" t="s">
        <v>600</v>
      </c>
      <c r="E632" s="13" t="s">
        <v>579</v>
      </c>
      <c r="F632" s="12" t="s">
        <v>274</v>
      </c>
      <c r="G632" s="12" t="s">
        <v>276</v>
      </c>
      <c r="H632" s="13" t="s">
        <v>580</v>
      </c>
    </row>
    <row r="633" customFormat="false" ht="60" hidden="false" customHeight="true" outlineLevel="0" collapsed="false">
      <c r="A633" s="12" t="s">
        <v>254</v>
      </c>
      <c r="B633" s="12" t="s">
        <v>579</v>
      </c>
      <c r="C633" s="13" t="s">
        <v>581</v>
      </c>
      <c r="D633" s="13" t="s">
        <v>577</v>
      </c>
      <c r="E633" s="13" t="s">
        <v>582</v>
      </c>
      <c r="F633" s="12" t="s">
        <v>274</v>
      </c>
      <c r="G633" s="12" t="s">
        <v>276</v>
      </c>
      <c r="H633" s="13" t="s">
        <v>583</v>
      </c>
    </row>
    <row r="634" customFormat="false" ht="60" hidden="false" customHeight="true" outlineLevel="0" collapsed="false">
      <c r="A634" s="12" t="s">
        <v>254</v>
      </c>
      <c r="B634" s="12" t="s">
        <v>582</v>
      </c>
      <c r="C634" s="13" t="s">
        <v>281</v>
      </c>
      <c r="D634" s="13" t="s">
        <v>579</v>
      </c>
      <c r="E634" s="13" t="s">
        <v>584</v>
      </c>
      <c r="F634" s="12" t="s">
        <v>274</v>
      </c>
      <c r="G634" s="12" t="s">
        <v>371</v>
      </c>
      <c r="H634" s="13" t="s">
        <v>585</v>
      </c>
    </row>
    <row r="635" customFormat="false" ht="60" hidden="false" customHeight="true" outlineLevel="0" collapsed="false">
      <c r="A635" s="12" t="s">
        <v>254</v>
      </c>
      <c r="B635" s="12" t="s">
        <v>586</v>
      </c>
      <c r="C635" s="13" t="s">
        <v>273</v>
      </c>
      <c r="D635" s="13" t="s">
        <v>582</v>
      </c>
      <c r="E635" s="13" t="s">
        <v>400</v>
      </c>
      <c r="F635" s="12" t="s">
        <v>274</v>
      </c>
      <c r="G635" s="12" t="s">
        <v>276</v>
      </c>
      <c r="H635" s="13" t="s">
        <v>587</v>
      </c>
    </row>
    <row r="636" customFormat="false" ht="60" hidden="false" customHeight="true" outlineLevel="0" collapsed="false">
      <c r="A636" s="12" t="s">
        <v>254</v>
      </c>
      <c r="B636" s="12" t="s">
        <v>588</v>
      </c>
      <c r="C636" s="13" t="s">
        <v>589</v>
      </c>
      <c r="D636" s="13" t="s">
        <v>582</v>
      </c>
      <c r="E636" s="13" t="s">
        <v>590</v>
      </c>
      <c r="F636" s="12" t="s">
        <v>274</v>
      </c>
      <c r="G636" s="12" t="s">
        <v>276</v>
      </c>
      <c r="H636" s="13" t="s">
        <v>591</v>
      </c>
    </row>
    <row r="637" customFormat="false" ht="60" hidden="false" customHeight="true" outlineLevel="0" collapsed="false">
      <c r="A637" s="12" t="s">
        <v>254</v>
      </c>
      <c r="B637" s="12" t="s">
        <v>590</v>
      </c>
      <c r="C637" s="13" t="s">
        <v>592</v>
      </c>
      <c r="D637" s="13" t="s">
        <v>588</v>
      </c>
      <c r="E637" s="13" t="s">
        <v>454</v>
      </c>
      <c r="F637" s="12" t="s">
        <v>274</v>
      </c>
      <c r="G637" s="12" t="s">
        <v>276</v>
      </c>
      <c r="H637" s="13" t="s">
        <v>593</v>
      </c>
    </row>
    <row r="638" customFormat="false" ht="60" hidden="false" customHeight="true" outlineLevel="0" collapsed="false">
      <c r="A638" s="12" t="s">
        <v>254</v>
      </c>
      <c r="B638" s="12" t="s">
        <v>400</v>
      </c>
      <c r="C638" s="13" t="s">
        <v>402</v>
      </c>
      <c r="D638" s="13" t="s">
        <v>586</v>
      </c>
      <c r="E638" s="13" t="s">
        <v>454</v>
      </c>
      <c r="F638" s="12" t="s">
        <v>274</v>
      </c>
      <c r="G638" s="12" t="s">
        <v>276</v>
      </c>
      <c r="H638" s="13" t="s">
        <v>455</v>
      </c>
    </row>
    <row r="639" customFormat="false" ht="60" hidden="false" customHeight="true" outlineLevel="0" collapsed="false">
      <c r="A639" s="12" t="s">
        <v>254</v>
      </c>
      <c r="B639" s="12" t="s">
        <v>454</v>
      </c>
      <c r="C639" s="13" t="s">
        <v>299</v>
      </c>
      <c r="D639" s="13" t="s">
        <v>595</v>
      </c>
      <c r="E639" s="13" t="s">
        <v>596</v>
      </c>
      <c r="F639" s="12" t="s">
        <v>274</v>
      </c>
      <c r="G639" s="12" t="s">
        <v>302</v>
      </c>
      <c r="H639" s="13" t="s">
        <v>459</v>
      </c>
    </row>
    <row r="640" customFormat="false" ht="60" hidden="false" customHeight="true" outlineLevel="0" collapsed="false">
      <c r="A640" s="12" t="s">
        <v>254</v>
      </c>
      <c r="B640" s="12" t="s">
        <v>596</v>
      </c>
      <c r="C640" s="13" t="s">
        <v>597</v>
      </c>
      <c r="D640" s="13" t="s">
        <v>454</v>
      </c>
      <c r="E640" s="13" t="s">
        <v>310</v>
      </c>
      <c r="F640" s="12" t="s">
        <v>274</v>
      </c>
      <c r="G640" s="12" t="s">
        <v>371</v>
      </c>
      <c r="H640" s="13" t="s">
        <v>598</v>
      </c>
    </row>
    <row r="641" customFormat="false" ht="60" hidden="false" customHeight="true" outlineLevel="0" collapsed="false">
      <c r="A641" s="12" t="s">
        <v>254</v>
      </c>
      <c r="B641" s="12" t="s">
        <v>310</v>
      </c>
      <c r="C641" s="13" t="s">
        <v>273</v>
      </c>
      <c r="D641" s="13" t="s">
        <v>596</v>
      </c>
      <c r="E641" s="13" t="s">
        <v>274</v>
      </c>
      <c r="F641" s="12" t="s">
        <v>274</v>
      </c>
      <c r="G641" s="12" t="s">
        <v>371</v>
      </c>
      <c r="H641" s="13" t="s">
        <v>315</v>
      </c>
    </row>
    <row r="642" customFormat="false" ht="60" hidden="false" customHeight="true" outlineLevel="0" collapsed="false">
      <c r="A642" s="12" t="s">
        <v>256</v>
      </c>
      <c r="B642" s="12" t="s">
        <v>272</v>
      </c>
      <c r="C642" s="13" t="s">
        <v>273</v>
      </c>
      <c r="D642" s="13" t="s">
        <v>274</v>
      </c>
      <c r="E642" s="13" t="s">
        <v>602</v>
      </c>
      <c r="F642" s="12" t="s">
        <v>274</v>
      </c>
      <c r="G642" s="12" t="s">
        <v>276</v>
      </c>
      <c r="H642" s="13" t="s">
        <v>277</v>
      </c>
    </row>
    <row r="643" customFormat="false" ht="60" hidden="false" customHeight="true" outlineLevel="0" collapsed="false">
      <c r="A643" s="12" t="s">
        <v>256</v>
      </c>
      <c r="B643" s="12" t="s">
        <v>602</v>
      </c>
      <c r="C643" s="13" t="s">
        <v>359</v>
      </c>
      <c r="D643" s="13" t="s">
        <v>272</v>
      </c>
      <c r="E643" s="13" t="s">
        <v>577</v>
      </c>
      <c r="F643" s="12" t="s">
        <v>274</v>
      </c>
      <c r="G643" s="12" t="s">
        <v>276</v>
      </c>
      <c r="H643" s="13" t="s">
        <v>603</v>
      </c>
    </row>
    <row r="644" customFormat="false" ht="60" hidden="false" customHeight="true" outlineLevel="0" collapsed="false">
      <c r="A644" s="12" t="s">
        <v>256</v>
      </c>
      <c r="B644" s="12" t="s">
        <v>577</v>
      </c>
      <c r="C644" s="13" t="s">
        <v>578</v>
      </c>
      <c r="D644" s="13" t="s">
        <v>602</v>
      </c>
      <c r="E644" s="13" t="s">
        <v>579</v>
      </c>
      <c r="F644" s="12" t="s">
        <v>274</v>
      </c>
      <c r="G644" s="12" t="s">
        <v>276</v>
      </c>
      <c r="H644" s="13" t="s">
        <v>580</v>
      </c>
    </row>
    <row r="645" customFormat="false" ht="60" hidden="false" customHeight="true" outlineLevel="0" collapsed="false">
      <c r="A645" s="12" t="s">
        <v>256</v>
      </c>
      <c r="B645" s="12" t="s">
        <v>579</v>
      </c>
      <c r="C645" s="13" t="s">
        <v>581</v>
      </c>
      <c r="D645" s="13" t="s">
        <v>577</v>
      </c>
      <c r="E645" s="13" t="s">
        <v>582</v>
      </c>
      <c r="F645" s="12" t="s">
        <v>274</v>
      </c>
      <c r="G645" s="12" t="s">
        <v>276</v>
      </c>
      <c r="H645" s="13" t="s">
        <v>583</v>
      </c>
    </row>
    <row r="646" customFormat="false" ht="60" hidden="false" customHeight="true" outlineLevel="0" collapsed="false">
      <c r="A646" s="12" t="s">
        <v>256</v>
      </c>
      <c r="B646" s="12" t="s">
        <v>582</v>
      </c>
      <c r="C646" s="13" t="s">
        <v>281</v>
      </c>
      <c r="D646" s="13" t="s">
        <v>579</v>
      </c>
      <c r="E646" s="13" t="s">
        <v>584</v>
      </c>
      <c r="F646" s="12" t="s">
        <v>274</v>
      </c>
      <c r="G646" s="12" t="s">
        <v>371</v>
      </c>
      <c r="H646" s="13" t="s">
        <v>585</v>
      </c>
    </row>
    <row r="647" customFormat="false" ht="60" hidden="false" customHeight="true" outlineLevel="0" collapsed="false">
      <c r="A647" s="12" t="s">
        <v>256</v>
      </c>
      <c r="B647" s="12" t="s">
        <v>586</v>
      </c>
      <c r="C647" s="13" t="s">
        <v>273</v>
      </c>
      <c r="D647" s="13" t="s">
        <v>582</v>
      </c>
      <c r="E647" s="13" t="s">
        <v>400</v>
      </c>
      <c r="F647" s="12" t="s">
        <v>274</v>
      </c>
      <c r="G647" s="12" t="s">
        <v>276</v>
      </c>
      <c r="H647" s="13" t="s">
        <v>587</v>
      </c>
    </row>
    <row r="648" customFormat="false" ht="60" hidden="false" customHeight="true" outlineLevel="0" collapsed="false">
      <c r="A648" s="12" t="s">
        <v>256</v>
      </c>
      <c r="B648" s="12" t="s">
        <v>588</v>
      </c>
      <c r="C648" s="13" t="s">
        <v>589</v>
      </c>
      <c r="D648" s="13" t="s">
        <v>582</v>
      </c>
      <c r="E648" s="13" t="s">
        <v>590</v>
      </c>
      <c r="F648" s="12" t="s">
        <v>274</v>
      </c>
      <c r="G648" s="12" t="s">
        <v>276</v>
      </c>
      <c r="H648" s="13" t="s">
        <v>591</v>
      </c>
    </row>
    <row r="649" customFormat="false" ht="60" hidden="false" customHeight="true" outlineLevel="0" collapsed="false">
      <c r="A649" s="12" t="s">
        <v>256</v>
      </c>
      <c r="B649" s="12" t="s">
        <v>590</v>
      </c>
      <c r="C649" s="13" t="s">
        <v>592</v>
      </c>
      <c r="D649" s="13" t="s">
        <v>588</v>
      </c>
      <c r="E649" s="13" t="s">
        <v>454</v>
      </c>
      <c r="F649" s="12" t="s">
        <v>274</v>
      </c>
      <c r="G649" s="12" t="s">
        <v>276</v>
      </c>
      <c r="H649" s="13" t="s">
        <v>593</v>
      </c>
    </row>
    <row r="650" customFormat="false" ht="60" hidden="false" customHeight="true" outlineLevel="0" collapsed="false">
      <c r="A650" s="12" t="s">
        <v>256</v>
      </c>
      <c r="B650" s="12" t="s">
        <v>400</v>
      </c>
      <c r="C650" s="13" t="s">
        <v>402</v>
      </c>
      <c r="D650" s="13" t="s">
        <v>586</v>
      </c>
      <c r="E650" s="13" t="s">
        <v>454</v>
      </c>
      <c r="F650" s="12" t="s">
        <v>274</v>
      </c>
      <c r="G650" s="12" t="s">
        <v>276</v>
      </c>
      <c r="H650" s="13" t="s">
        <v>461</v>
      </c>
    </row>
    <row r="651" customFormat="false" ht="60" hidden="false" customHeight="true" outlineLevel="0" collapsed="false">
      <c r="A651" s="12" t="s">
        <v>256</v>
      </c>
      <c r="B651" s="12" t="s">
        <v>454</v>
      </c>
      <c r="C651" s="13" t="s">
        <v>299</v>
      </c>
      <c r="D651" s="13" t="s">
        <v>595</v>
      </c>
      <c r="E651" s="13" t="s">
        <v>596</v>
      </c>
      <c r="F651" s="12" t="s">
        <v>274</v>
      </c>
      <c r="G651" s="12" t="s">
        <v>302</v>
      </c>
      <c r="H651" s="13" t="s">
        <v>459</v>
      </c>
    </row>
    <row r="652" customFormat="false" ht="60" hidden="false" customHeight="true" outlineLevel="0" collapsed="false">
      <c r="A652" s="12" t="s">
        <v>256</v>
      </c>
      <c r="B652" s="12" t="s">
        <v>596</v>
      </c>
      <c r="C652" s="13" t="s">
        <v>597</v>
      </c>
      <c r="D652" s="13" t="s">
        <v>454</v>
      </c>
      <c r="E652" s="13" t="s">
        <v>310</v>
      </c>
      <c r="F652" s="12" t="s">
        <v>274</v>
      </c>
      <c r="G652" s="12" t="s">
        <v>371</v>
      </c>
      <c r="H652" s="13" t="s">
        <v>598</v>
      </c>
    </row>
    <row r="653" customFormat="false" ht="60" hidden="false" customHeight="true" outlineLevel="0" collapsed="false">
      <c r="A653" s="12" t="s">
        <v>256</v>
      </c>
      <c r="B653" s="12" t="s">
        <v>310</v>
      </c>
      <c r="C653" s="13" t="s">
        <v>273</v>
      </c>
      <c r="D653" s="13" t="s">
        <v>596</v>
      </c>
      <c r="E653" s="13" t="s">
        <v>274</v>
      </c>
      <c r="F653" s="12" t="s">
        <v>274</v>
      </c>
      <c r="G653" s="12" t="s">
        <v>371</v>
      </c>
      <c r="H653" s="13" t="s">
        <v>315</v>
      </c>
    </row>
    <row r="654" customFormat="false" ht="60" hidden="false" customHeight="true" outlineLevel="0" collapsed="false">
      <c r="A654" s="12" t="s">
        <v>258</v>
      </c>
      <c r="B654" s="12" t="s">
        <v>272</v>
      </c>
      <c r="C654" s="13" t="s">
        <v>273</v>
      </c>
      <c r="D654" s="13" t="s">
        <v>274</v>
      </c>
      <c r="E654" s="13" t="s">
        <v>604</v>
      </c>
      <c r="F654" s="12" t="s">
        <v>274</v>
      </c>
      <c r="G654" s="12" t="s">
        <v>276</v>
      </c>
      <c r="H654" s="13" t="s">
        <v>277</v>
      </c>
    </row>
    <row r="655" customFormat="false" ht="60" hidden="false" customHeight="true" outlineLevel="0" collapsed="false">
      <c r="A655" s="12" t="s">
        <v>258</v>
      </c>
      <c r="B655" s="12" t="s">
        <v>604</v>
      </c>
      <c r="C655" s="13" t="s">
        <v>359</v>
      </c>
      <c r="D655" s="13" t="s">
        <v>272</v>
      </c>
      <c r="E655" s="13" t="s">
        <v>577</v>
      </c>
      <c r="F655" s="12" t="s">
        <v>274</v>
      </c>
      <c r="G655" s="12" t="s">
        <v>276</v>
      </c>
      <c r="H655" s="13" t="s">
        <v>605</v>
      </c>
    </row>
    <row r="656" customFormat="false" ht="60" hidden="false" customHeight="true" outlineLevel="0" collapsed="false">
      <c r="A656" s="12" t="s">
        <v>258</v>
      </c>
      <c r="B656" s="12" t="s">
        <v>577</v>
      </c>
      <c r="C656" s="13" t="s">
        <v>578</v>
      </c>
      <c r="D656" s="13" t="s">
        <v>604</v>
      </c>
      <c r="E656" s="13" t="s">
        <v>579</v>
      </c>
      <c r="F656" s="12" t="s">
        <v>274</v>
      </c>
      <c r="G656" s="12" t="s">
        <v>276</v>
      </c>
      <c r="H656" s="13" t="s">
        <v>580</v>
      </c>
    </row>
    <row r="657" customFormat="false" ht="60" hidden="false" customHeight="true" outlineLevel="0" collapsed="false">
      <c r="A657" s="12" t="s">
        <v>258</v>
      </c>
      <c r="B657" s="12" t="s">
        <v>579</v>
      </c>
      <c r="C657" s="13" t="s">
        <v>581</v>
      </c>
      <c r="D657" s="13" t="s">
        <v>577</v>
      </c>
      <c r="E657" s="13" t="s">
        <v>582</v>
      </c>
      <c r="F657" s="12" t="s">
        <v>274</v>
      </c>
      <c r="G657" s="12" t="s">
        <v>276</v>
      </c>
      <c r="H657" s="13" t="s">
        <v>583</v>
      </c>
    </row>
    <row r="658" customFormat="false" ht="60" hidden="false" customHeight="true" outlineLevel="0" collapsed="false">
      <c r="A658" s="12" t="s">
        <v>258</v>
      </c>
      <c r="B658" s="12" t="s">
        <v>582</v>
      </c>
      <c r="C658" s="13" t="s">
        <v>281</v>
      </c>
      <c r="D658" s="13" t="s">
        <v>579</v>
      </c>
      <c r="E658" s="13" t="s">
        <v>584</v>
      </c>
      <c r="F658" s="12" t="s">
        <v>274</v>
      </c>
      <c r="G658" s="12" t="s">
        <v>371</v>
      </c>
      <c r="H658" s="13" t="s">
        <v>585</v>
      </c>
    </row>
    <row r="659" customFormat="false" ht="60" hidden="false" customHeight="true" outlineLevel="0" collapsed="false">
      <c r="A659" s="12" t="s">
        <v>258</v>
      </c>
      <c r="B659" s="12" t="s">
        <v>586</v>
      </c>
      <c r="C659" s="13" t="s">
        <v>273</v>
      </c>
      <c r="D659" s="13" t="s">
        <v>582</v>
      </c>
      <c r="E659" s="13" t="s">
        <v>400</v>
      </c>
      <c r="F659" s="12" t="s">
        <v>274</v>
      </c>
      <c r="G659" s="12" t="s">
        <v>276</v>
      </c>
      <c r="H659" s="13" t="s">
        <v>587</v>
      </c>
    </row>
    <row r="660" customFormat="false" ht="60" hidden="false" customHeight="true" outlineLevel="0" collapsed="false">
      <c r="A660" s="12" t="s">
        <v>258</v>
      </c>
      <c r="B660" s="12" t="s">
        <v>588</v>
      </c>
      <c r="C660" s="13" t="s">
        <v>589</v>
      </c>
      <c r="D660" s="13" t="s">
        <v>582</v>
      </c>
      <c r="E660" s="13" t="s">
        <v>590</v>
      </c>
      <c r="F660" s="12" t="s">
        <v>274</v>
      </c>
      <c r="G660" s="12" t="s">
        <v>276</v>
      </c>
      <c r="H660" s="13" t="s">
        <v>591</v>
      </c>
    </row>
    <row r="661" customFormat="false" ht="60" hidden="false" customHeight="true" outlineLevel="0" collapsed="false">
      <c r="A661" s="12" t="s">
        <v>258</v>
      </c>
      <c r="B661" s="12" t="s">
        <v>590</v>
      </c>
      <c r="C661" s="13" t="s">
        <v>592</v>
      </c>
      <c r="D661" s="13" t="s">
        <v>588</v>
      </c>
      <c r="E661" s="13" t="s">
        <v>454</v>
      </c>
      <c r="F661" s="12" t="s">
        <v>274</v>
      </c>
      <c r="G661" s="12" t="s">
        <v>276</v>
      </c>
      <c r="H661" s="13" t="s">
        <v>593</v>
      </c>
    </row>
    <row r="662" customFormat="false" ht="60" hidden="false" customHeight="true" outlineLevel="0" collapsed="false">
      <c r="A662" s="12" t="s">
        <v>258</v>
      </c>
      <c r="B662" s="12" t="s">
        <v>400</v>
      </c>
      <c r="C662" s="13" t="s">
        <v>402</v>
      </c>
      <c r="D662" s="13" t="s">
        <v>586</v>
      </c>
      <c r="E662" s="13" t="s">
        <v>454</v>
      </c>
      <c r="F662" s="12" t="s">
        <v>274</v>
      </c>
      <c r="G662" s="12" t="s">
        <v>276</v>
      </c>
      <c r="H662" s="13" t="s">
        <v>463</v>
      </c>
    </row>
    <row r="663" customFormat="false" ht="60" hidden="false" customHeight="true" outlineLevel="0" collapsed="false">
      <c r="A663" s="12" t="s">
        <v>258</v>
      </c>
      <c r="B663" s="12" t="s">
        <v>454</v>
      </c>
      <c r="C663" s="13" t="s">
        <v>299</v>
      </c>
      <c r="D663" s="13" t="s">
        <v>595</v>
      </c>
      <c r="E663" s="13" t="s">
        <v>596</v>
      </c>
      <c r="F663" s="12" t="s">
        <v>274</v>
      </c>
      <c r="G663" s="12" t="s">
        <v>302</v>
      </c>
      <c r="H663" s="13" t="s">
        <v>459</v>
      </c>
    </row>
    <row r="664" customFormat="false" ht="60" hidden="false" customHeight="true" outlineLevel="0" collapsed="false">
      <c r="A664" s="12" t="s">
        <v>258</v>
      </c>
      <c r="B664" s="12" t="s">
        <v>596</v>
      </c>
      <c r="C664" s="13" t="s">
        <v>597</v>
      </c>
      <c r="D664" s="13" t="s">
        <v>454</v>
      </c>
      <c r="E664" s="13" t="s">
        <v>310</v>
      </c>
      <c r="F664" s="12" t="s">
        <v>274</v>
      </c>
      <c r="G664" s="12" t="s">
        <v>371</v>
      </c>
      <c r="H664" s="13" t="s">
        <v>598</v>
      </c>
    </row>
    <row r="665" customFormat="false" ht="60" hidden="false" customHeight="true" outlineLevel="0" collapsed="false">
      <c r="A665" s="12" t="s">
        <v>258</v>
      </c>
      <c r="B665" s="12" t="s">
        <v>310</v>
      </c>
      <c r="C665" s="13" t="s">
        <v>273</v>
      </c>
      <c r="D665" s="13" t="s">
        <v>596</v>
      </c>
      <c r="E665" s="13" t="s">
        <v>274</v>
      </c>
      <c r="F665" s="12" t="s">
        <v>274</v>
      </c>
      <c r="G665" s="12" t="s">
        <v>371</v>
      </c>
      <c r="H665" s="13" t="s">
        <v>315</v>
      </c>
    </row>
    <row r="666" customFormat="false" ht="60" hidden="false" customHeight="true" outlineLevel="0" collapsed="false">
      <c r="A666" s="12" t="s">
        <v>260</v>
      </c>
      <c r="B666" s="12" t="s">
        <v>272</v>
      </c>
      <c r="C666" s="13" t="s">
        <v>273</v>
      </c>
      <c r="D666" s="13" t="s">
        <v>274</v>
      </c>
      <c r="E666" s="13" t="s">
        <v>606</v>
      </c>
      <c r="F666" s="12" t="s">
        <v>274</v>
      </c>
      <c r="G666" s="12" t="s">
        <v>276</v>
      </c>
      <c r="H666" s="13" t="s">
        <v>277</v>
      </c>
    </row>
    <row r="667" customFormat="false" ht="60" hidden="false" customHeight="true" outlineLevel="0" collapsed="false">
      <c r="A667" s="12" t="s">
        <v>260</v>
      </c>
      <c r="B667" s="12" t="s">
        <v>606</v>
      </c>
      <c r="C667" s="13" t="s">
        <v>359</v>
      </c>
      <c r="D667" s="13" t="s">
        <v>272</v>
      </c>
      <c r="E667" s="13" t="s">
        <v>577</v>
      </c>
      <c r="F667" s="12" t="s">
        <v>274</v>
      </c>
      <c r="G667" s="12" t="s">
        <v>276</v>
      </c>
      <c r="H667" s="13" t="s">
        <v>607</v>
      </c>
    </row>
    <row r="668" customFormat="false" ht="60" hidden="false" customHeight="true" outlineLevel="0" collapsed="false">
      <c r="A668" s="12" t="s">
        <v>260</v>
      </c>
      <c r="B668" s="12" t="s">
        <v>577</v>
      </c>
      <c r="C668" s="13" t="s">
        <v>578</v>
      </c>
      <c r="D668" s="13" t="s">
        <v>606</v>
      </c>
      <c r="E668" s="13" t="s">
        <v>579</v>
      </c>
      <c r="F668" s="12" t="s">
        <v>274</v>
      </c>
      <c r="G668" s="12" t="s">
        <v>276</v>
      </c>
      <c r="H668" s="13" t="s">
        <v>580</v>
      </c>
    </row>
    <row r="669" customFormat="false" ht="60" hidden="false" customHeight="true" outlineLevel="0" collapsed="false">
      <c r="A669" s="12" t="s">
        <v>260</v>
      </c>
      <c r="B669" s="12" t="s">
        <v>579</v>
      </c>
      <c r="C669" s="13" t="s">
        <v>581</v>
      </c>
      <c r="D669" s="13" t="s">
        <v>577</v>
      </c>
      <c r="E669" s="13" t="s">
        <v>582</v>
      </c>
      <c r="F669" s="12" t="s">
        <v>274</v>
      </c>
      <c r="G669" s="12" t="s">
        <v>276</v>
      </c>
      <c r="H669" s="13" t="s">
        <v>583</v>
      </c>
    </row>
    <row r="670" customFormat="false" ht="60" hidden="false" customHeight="true" outlineLevel="0" collapsed="false">
      <c r="A670" s="12" t="s">
        <v>260</v>
      </c>
      <c r="B670" s="12" t="s">
        <v>582</v>
      </c>
      <c r="C670" s="13" t="s">
        <v>281</v>
      </c>
      <c r="D670" s="13" t="s">
        <v>579</v>
      </c>
      <c r="E670" s="13" t="s">
        <v>584</v>
      </c>
      <c r="F670" s="12" t="s">
        <v>274</v>
      </c>
      <c r="G670" s="12" t="s">
        <v>371</v>
      </c>
      <c r="H670" s="13" t="s">
        <v>585</v>
      </c>
    </row>
    <row r="671" customFormat="false" ht="60" hidden="false" customHeight="true" outlineLevel="0" collapsed="false">
      <c r="A671" s="12" t="s">
        <v>260</v>
      </c>
      <c r="B671" s="12" t="s">
        <v>586</v>
      </c>
      <c r="C671" s="13" t="s">
        <v>273</v>
      </c>
      <c r="D671" s="13" t="s">
        <v>582</v>
      </c>
      <c r="E671" s="13" t="s">
        <v>400</v>
      </c>
      <c r="F671" s="12" t="s">
        <v>274</v>
      </c>
      <c r="G671" s="12" t="s">
        <v>276</v>
      </c>
      <c r="H671" s="13" t="s">
        <v>587</v>
      </c>
    </row>
    <row r="672" customFormat="false" ht="60" hidden="false" customHeight="true" outlineLevel="0" collapsed="false">
      <c r="A672" s="12" t="s">
        <v>260</v>
      </c>
      <c r="B672" s="12" t="s">
        <v>588</v>
      </c>
      <c r="C672" s="13" t="s">
        <v>589</v>
      </c>
      <c r="D672" s="13" t="s">
        <v>582</v>
      </c>
      <c r="E672" s="13" t="s">
        <v>590</v>
      </c>
      <c r="F672" s="12" t="s">
        <v>274</v>
      </c>
      <c r="G672" s="12" t="s">
        <v>276</v>
      </c>
      <c r="H672" s="13" t="s">
        <v>591</v>
      </c>
    </row>
    <row r="673" customFormat="false" ht="60" hidden="false" customHeight="true" outlineLevel="0" collapsed="false">
      <c r="A673" s="12" t="s">
        <v>260</v>
      </c>
      <c r="B673" s="12" t="s">
        <v>590</v>
      </c>
      <c r="C673" s="13" t="s">
        <v>592</v>
      </c>
      <c r="D673" s="13" t="s">
        <v>588</v>
      </c>
      <c r="E673" s="13" t="s">
        <v>454</v>
      </c>
      <c r="F673" s="12" t="s">
        <v>274</v>
      </c>
      <c r="G673" s="12" t="s">
        <v>276</v>
      </c>
      <c r="H673" s="13" t="s">
        <v>593</v>
      </c>
    </row>
    <row r="674" customFormat="false" ht="60" hidden="false" customHeight="true" outlineLevel="0" collapsed="false">
      <c r="A674" s="12" t="s">
        <v>260</v>
      </c>
      <c r="B674" s="12" t="s">
        <v>400</v>
      </c>
      <c r="C674" s="13" t="s">
        <v>402</v>
      </c>
      <c r="D674" s="13" t="s">
        <v>586</v>
      </c>
      <c r="E674" s="13" t="s">
        <v>454</v>
      </c>
      <c r="F674" s="12" t="s">
        <v>274</v>
      </c>
      <c r="G674" s="12" t="s">
        <v>276</v>
      </c>
      <c r="H674" s="13" t="s">
        <v>465</v>
      </c>
    </row>
    <row r="675" customFormat="false" ht="60" hidden="false" customHeight="true" outlineLevel="0" collapsed="false">
      <c r="A675" s="12" t="s">
        <v>260</v>
      </c>
      <c r="B675" s="12" t="s">
        <v>454</v>
      </c>
      <c r="C675" s="13" t="s">
        <v>299</v>
      </c>
      <c r="D675" s="13" t="s">
        <v>595</v>
      </c>
      <c r="E675" s="13" t="s">
        <v>596</v>
      </c>
      <c r="F675" s="12" t="s">
        <v>274</v>
      </c>
      <c r="G675" s="12" t="s">
        <v>302</v>
      </c>
      <c r="H675" s="13" t="s">
        <v>459</v>
      </c>
    </row>
    <row r="676" customFormat="false" ht="60" hidden="false" customHeight="true" outlineLevel="0" collapsed="false">
      <c r="A676" s="12" t="s">
        <v>260</v>
      </c>
      <c r="B676" s="12" t="s">
        <v>596</v>
      </c>
      <c r="C676" s="13" t="s">
        <v>597</v>
      </c>
      <c r="D676" s="13" t="s">
        <v>454</v>
      </c>
      <c r="E676" s="13" t="s">
        <v>310</v>
      </c>
      <c r="F676" s="12" t="s">
        <v>274</v>
      </c>
      <c r="G676" s="12" t="s">
        <v>371</v>
      </c>
      <c r="H676" s="13" t="s">
        <v>598</v>
      </c>
    </row>
    <row r="677" customFormat="false" ht="60" hidden="false" customHeight="true" outlineLevel="0" collapsed="false">
      <c r="A677" s="12" t="s">
        <v>260</v>
      </c>
      <c r="B677" s="12" t="s">
        <v>310</v>
      </c>
      <c r="C677" s="13" t="s">
        <v>273</v>
      </c>
      <c r="D677" s="13" t="s">
        <v>596</v>
      </c>
      <c r="E677" s="13" t="s">
        <v>274</v>
      </c>
      <c r="F677" s="12" t="s">
        <v>274</v>
      </c>
      <c r="G677" s="12" t="s">
        <v>371</v>
      </c>
      <c r="H677" s="13" t="s">
        <v>315</v>
      </c>
    </row>
    <row r="678" customFormat="false" ht="60" hidden="false" customHeight="true" outlineLevel="0" collapsed="false">
      <c r="A678" s="12" t="s">
        <v>262</v>
      </c>
      <c r="B678" s="12" t="s">
        <v>272</v>
      </c>
      <c r="C678" s="13" t="s">
        <v>273</v>
      </c>
      <c r="D678" s="13" t="s">
        <v>274</v>
      </c>
      <c r="E678" s="13" t="s">
        <v>608</v>
      </c>
      <c r="F678" s="12" t="s">
        <v>274</v>
      </c>
      <c r="G678" s="12" t="s">
        <v>276</v>
      </c>
      <c r="H678" s="13" t="s">
        <v>277</v>
      </c>
    </row>
    <row r="679" customFormat="false" ht="60" hidden="false" customHeight="true" outlineLevel="0" collapsed="false">
      <c r="A679" s="12" t="s">
        <v>262</v>
      </c>
      <c r="B679" s="12" t="s">
        <v>608</v>
      </c>
      <c r="C679" s="13" t="s">
        <v>359</v>
      </c>
      <c r="D679" s="13" t="s">
        <v>272</v>
      </c>
      <c r="E679" s="13" t="s">
        <v>577</v>
      </c>
      <c r="F679" s="12" t="s">
        <v>274</v>
      </c>
      <c r="G679" s="12" t="s">
        <v>276</v>
      </c>
      <c r="H679" s="13" t="s">
        <v>609</v>
      </c>
    </row>
    <row r="680" customFormat="false" ht="60" hidden="false" customHeight="true" outlineLevel="0" collapsed="false">
      <c r="A680" s="12" t="s">
        <v>262</v>
      </c>
      <c r="B680" s="12" t="s">
        <v>577</v>
      </c>
      <c r="C680" s="13" t="s">
        <v>578</v>
      </c>
      <c r="D680" s="13" t="s">
        <v>608</v>
      </c>
      <c r="E680" s="13" t="s">
        <v>579</v>
      </c>
      <c r="F680" s="12" t="s">
        <v>274</v>
      </c>
      <c r="G680" s="12" t="s">
        <v>276</v>
      </c>
      <c r="H680" s="13" t="s">
        <v>580</v>
      </c>
    </row>
    <row r="681" customFormat="false" ht="60" hidden="false" customHeight="true" outlineLevel="0" collapsed="false">
      <c r="A681" s="12" t="s">
        <v>262</v>
      </c>
      <c r="B681" s="12" t="s">
        <v>579</v>
      </c>
      <c r="C681" s="13" t="s">
        <v>581</v>
      </c>
      <c r="D681" s="13" t="s">
        <v>577</v>
      </c>
      <c r="E681" s="13" t="s">
        <v>582</v>
      </c>
      <c r="F681" s="12" t="s">
        <v>274</v>
      </c>
      <c r="G681" s="12" t="s">
        <v>276</v>
      </c>
      <c r="H681" s="13" t="s">
        <v>583</v>
      </c>
    </row>
    <row r="682" customFormat="false" ht="60" hidden="false" customHeight="true" outlineLevel="0" collapsed="false">
      <c r="A682" s="12" t="s">
        <v>262</v>
      </c>
      <c r="B682" s="12" t="s">
        <v>582</v>
      </c>
      <c r="C682" s="13" t="s">
        <v>281</v>
      </c>
      <c r="D682" s="13" t="s">
        <v>579</v>
      </c>
      <c r="E682" s="13" t="s">
        <v>584</v>
      </c>
      <c r="F682" s="12" t="s">
        <v>274</v>
      </c>
      <c r="G682" s="12" t="s">
        <v>371</v>
      </c>
      <c r="H682" s="13" t="s">
        <v>585</v>
      </c>
    </row>
    <row r="683" customFormat="false" ht="60" hidden="false" customHeight="true" outlineLevel="0" collapsed="false">
      <c r="A683" s="12" t="s">
        <v>262</v>
      </c>
      <c r="B683" s="12" t="s">
        <v>586</v>
      </c>
      <c r="C683" s="13" t="s">
        <v>273</v>
      </c>
      <c r="D683" s="13" t="s">
        <v>582</v>
      </c>
      <c r="E683" s="13" t="s">
        <v>400</v>
      </c>
      <c r="F683" s="12" t="s">
        <v>274</v>
      </c>
      <c r="G683" s="12" t="s">
        <v>276</v>
      </c>
      <c r="H683" s="13" t="s">
        <v>587</v>
      </c>
    </row>
    <row r="684" customFormat="false" ht="60" hidden="false" customHeight="true" outlineLevel="0" collapsed="false">
      <c r="A684" s="12" t="s">
        <v>262</v>
      </c>
      <c r="B684" s="12" t="s">
        <v>588</v>
      </c>
      <c r="C684" s="13" t="s">
        <v>589</v>
      </c>
      <c r="D684" s="13" t="s">
        <v>582</v>
      </c>
      <c r="E684" s="13" t="s">
        <v>590</v>
      </c>
      <c r="F684" s="12" t="s">
        <v>274</v>
      </c>
      <c r="G684" s="12" t="s">
        <v>276</v>
      </c>
      <c r="H684" s="13" t="s">
        <v>591</v>
      </c>
    </row>
    <row r="685" customFormat="false" ht="60" hidden="false" customHeight="true" outlineLevel="0" collapsed="false">
      <c r="A685" s="12" t="s">
        <v>262</v>
      </c>
      <c r="B685" s="12" t="s">
        <v>590</v>
      </c>
      <c r="C685" s="13" t="s">
        <v>592</v>
      </c>
      <c r="D685" s="13" t="s">
        <v>588</v>
      </c>
      <c r="E685" s="13" t="s">
        <v>454</v>
      </c>
      <c r="F685" s="12" t="s">
        <v>274</v>
      </c>
      <c r="G685" s="12" t="s">
        <v>276</v>
      </c>
      <c r="H685" s="13" t="s">
        <v>593</v>
      </c>
    </row>
    <row r="686" customFormat="false" ht="60" hidden="false" customHeight="true" outlineLevel="0" collapsed="false">
      <c r="A686" s="12" t="s">
        <v>262</v>
      </c>
      <c r="B686" s="12" t="s">
        <v>400</v>
      </c>
      <c r="C686" s="13" t="s">
        <v>402</v>
      </c>
      <c r="D686" s="13" t="s">
        <v>586</v>
      </c>
      <c r="E686" s="13" t="s">
        <v>454</v>
      </c>
      <c r="F686" s="12" t="s">
        <v>274</v>
      </c>
      <c r="G686" s="12" t="s">
        <v>276</v>
      </c>
      <c r="H686" s="13" t="s">
        <v>467</v>
      </c>
    </row>
    <row r="687" customFormat="false" ht="60" hidden="false" customHeight="true" outlineLevel="0" collapsed="false">
      <c r="A687" s="12" t="s">
        <v>262</v>
      </c>
      <c r="B687" s="12" t="s">
        <v>454</v>
      </c>
      <c r="C687" s="13" t="s">
        <v>299</v>
      </c>
      <c r="D687" s="13" t="s">
        <v>595</v>
      </c>
      <c r="E687" s="13" t="s">
        <v>596</v>
      </c>
      <c r="F687" s="12" t="s">
        <v>274</v>
      </c>
      <c r="G687" s="12" t="s">
        <v>302</v>
      </c>
      <c r="H687" s="13" t="s">
        <v>459</v>
      </c>
    </row>
    <row r="688" customFormat="false" ht="60" hidden="false" customHeight="true" outlineLevel="0" collapsed="false">
      <c r="A688" s="12" t="s">
        <v>262</v>
      </c>
      <c r="B688" s="12" t="s">
        <v>596</v>
      </c>
      <c r="C688" s="13" t="s">
        <v>597</v>
      </c>
      <c r="D688" s="13" t="s">
        <v>454</v>
      </c>
      <c r="E688" s="13" t="s">
        <v>310</v>
      </c>
      <c r="F688" s="12" t="s">
        <v>274</v>
      </c>
      <c r="G688" s="12" t="s">
        <v>371</v>
      </c>
      <c r="H688" s="13" t="s">
        <v>598</v>
      </c>
    </row>
    <row r="689" customFormat="false" ht="60" hidden="false" customHeight="true" outlineLevel="0" collapsed="false">
      <c r="A689" s="12" t="s">
        <v>262</v>
      </c>
      <c r="B689" s="12" t="s">
        <v>310</v>
      </c>
      <c r="C689" s="13" t="s">
        <v>273</v>
      </c>
      <c r="D689" s="13" t="s">
        <v>596</v>
      </c>
      <c r="E689" s="13" t="s">
        <v>274</v>
      </c>
      <c r="F689" s="12" t="s">
        <v>274</v>
      </c>
      <c r="G689" s="12" t="s">
        <v>371</v>
      </c>
      <c r="H689" s="13" t="s">
        <v>315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4"/>
    <col collapsed="false" customWidth="true" hidden="false" outlineLevel="0" max="4" min="4" style="0" width="24"/>
    <col collapsed="false" customWidth="true" hidden="false" outlineLevel="0" max="5" min="5" style="0" width="20"/>
    <col collapsed="false" customWidth="true" hidden="false" outlineLevel="0" max="7" min="6" style="0" width="42"/>
    <col collapsed="false" customWidth="true" hidden="false" outlineLevel="0" max="8" min="8" style="0" width="44"/>
    <col collapsed="false" customWidth="true" hidden="false" outlineLevel="0" max="10" min="9" style="0" width="42"/>
  </cols>
  <sheetData>
    <row r="1" customFormat="false" ht="21.75" hidden="false" customHeight="true" outlineLevel="0" collapsed="false">
      <c r="A1" s="10" t="s">
        <v>610</v>
      </c>
      <c r="B1" s="10"/>
      <c r="C1" s="10"/>
      <c r="D1" s="10"/>
      <c r="E1" s="10"/>
      <c r="F1" s="10"/>
      <c r="G1" s="10"/>
      <c r="H1" s="10"/>
      <c r="I1" s="10"/>
      <c r="J1" s="10"/>
    </row>
    <row r="3" customFormat="false" ht="30" hidden="false" customHeight="true" outlineLevel="0" collapsed="false">
      <c r="A3" s="11" t="s">
        <v>611</v>
      </c>
      <c r="B3" s="11" t="s">
        <v>38</v>
      </c>
      <c r="C3" s="11" t="s">
        <v>612</v>
      </c>
      <c r="D3" s="11" t="s">
        <v>12</v>
      </c>
      <c r="E3" s="11" t="s">
        <v>613</v>
      </c>
      <c r="F3" s="11" t="s">
        <v>614</v>
      </c>
      <c r="G3" s="11" t="s">
        <v>615</v>
      </c>
      <c r="H3" s="11" t="s">
        <v>616</v>
      </c>
      <c r="I3" s="11" t="s">
        <v>617</v>
      </c>
      <c r="J3" s="11" t="s">
        <v>618</v>
      </c>
    </row>
    <row r="4" customFormat="false" ht="30" hidden="false" customHeight="true" outlineLevel="0" collapsed="false">
      <c r="A4" s="12" t="s">
        <v>619</v>
      </c>
      <c r="B4" s="12" t="s">
        <v>48</v>
      </c>
      <c r="C4" s="13" t="s">
        <v>49</v>
      </c>
      <c r="D4" s="12" t="s">
        <v>15</v>
      </c>
      <c r="E4" s="12" t="s">
        <v>620</v>
      </c>
      <c r="F4" s="13" t="s">
        <v>621</v>
      </c>
      <c r="G4" s="13" t="s">
        <v>622</v>
      </c>
      <c r="H4" s="13" t="s">
        <v>623</v>
      </c>
      <c r="I4" s="13" t="s">
        <v>624</v>
      </c>
      <c r="J4" s="13" t="s">
        <v>625</v>
      </c>
    </row>
    <row r="5" customFormat="false" ht="30" hidden="false" customHeight="true" outlineLevel="0" collapsed="false">
      <c r="A5" s="12" t="s">
        <v>626</v>
      </c>
      <c r="B5" s="12" t="s">
        <v>57</v>
      </c>
      <c r="C5" s="13" t="s">
        <v>58</v>
      </c>
      <c r="D5" s="12" t="s">
        <v>15</v>
      </c>
      <c r="E5" s="12" t="s">
        <v>620</v>
      </c>
      <c r="F5" s="13" t="s">
        <v>627</v>
      </c>
      <c r="G5" s="13" t="s">
        <v>628</v>
      </c>
      <c r="H5" s="13" t="s">
        <v>629</v>
      </c>
      <c r="I5" s="13" t="s">
        <v>630</v>
      </c>
      <c r="J5" s="13" t="s">
        <v>631</v>
      </c>
    </row>
    <row r="6" customFormat="false" ht="30" hidden="false" customHeight="true" outlineLevel="0" collapsed="false">
      <c r="A6" s="12" t="s">
        <v>632</v>
      </c>
      <c r="B6" s="12" t="s">
        <v>64</v>
      </c>
      <c r="C6" s="13" t="s">
        <v>65</v>
      </c>
      <c r="D6" s="12" t="s">
        <v>15</v>
      </c>
      <c r="E6" s="12" t="s">
        <v>633</v>
      </c>
      <c r="F6" s="13" t="s">
        <v>634</v>
      </c>
      <c r="G6" s="13" t="s">
        <v>635</v>
      </c>
      <c r="H6" s="13" t="s">
        <v>636</v>
      </c>
      <c r="I6" s="13" t="s">
        <v>637</v>
      </c>
      <c r="J6" s="13" t="s">
        <v>638</v>
      </c>
    </row>
    <row r="7" customFormat="false" ht="30" hidden="false" customHeight="true" outlineLevel="0" collapsed="false">
      <c r="A7" s="12" t="s">
        <v>639</v>
      </c>
      <c r="B7" s="12" t="s">
        <v>72</v>
      </c>
      <c r="C7" s="13" t="s">
        <v>73</v>
      </c>
      <c r="D7" s="12" t="s">
        <v>15</v>
      </c>
      <c r="E7" s="12" t="s">
        <v>640</v>
      </c>
      <c r="F7" s="13" t="s">
        <v>641</v>
      </c>
      <c r="G7" s="13" t="s">
        <v>642</v>
      </c>
      <c r="H7" s="13" t="s">
        <v>643</v>
      </c>
      <c r="I7" s="13" t="s">
        <v>644</v>
      </c>
      <c r="J7" s="13" t="s">
        <v>645</v>
      </c>
    </row>
    <row r="8" customFormat="false" ht="30" hidden="false" customHeight="true" outlineLevel="0" collapsed="false">
      <c r="A8" s="12" t="s">
        <v>646</v>
      </c>
      <c r="B8" s="12" t="s">
        <v>81</v>
      </c>
      <c r="C8" s="13" t="s">
        <v>82</v>
      </c>
      <c r="D8" s="12" t="s">
        <v>15</v>
      </c>
      <c r="E8" s="12" t="s">
        <v>640</v>
      </c>
      <c r="F8" s="13" t="s">
        <v>647</v>
      </c>
      <c r="G8" s="13" t="s">
        <v>648</v>
      </c>
      <c r="H8" s="13" t="s">
        <v>649</v>
      </c>
      <c r="I8" s="13" t="s">
        <v>650</v>
      </c>
      <c r="J8" s="13" t="s">
        <v>651</v>
      </c>
    </row>
    <row r="9" customFormat="false" ht="30" hidden="false" customHeight="true" outlineLevel="0" collapsed="false">
      <c r="A9" s="12" t="s">
        <v>652</v>
      </c>
      <c r="B9" s="12" t="s">
        <v>88</v>
      </c>
      <c r="C9" s="13" t="s">
        <v>89</v>
      </c>
      <c r="D9" s="12" t="s">
        <v>15</v>
      </c>
      <c r="E9" s="12" t="s">
        <v>653</v>
      </c>
      <c r="F9" s="13" t="s">
        <v>654</v>
      </c>
      <c r="G9" s="13" t="s">
        <v>655</v>
      </c>
      <c r="H9" s="13" t="s">
        <v>656</v>
      </c>
      <c r="I9" s="13" t="s">
        <v>657</v>
      </c>
      <c r="J9" s="13" t="s">
        <v>658</v>
      </c>
    </row>
    <row r="10" customFormat="false" ht="30" hidden="false" customHeight="true" outlineLevel="0" collapsed="false">
      <c r="A10" s="12" t="s">
        <v>659</v>
      </c>
      <c r="B10" s="12" t="s">
        <v>96</v>
      </c>
      <c r="C10" s="13" t="s">
        <v>97</v>
      </c>
      <c r="D10" s="12" t="s">
        <v>15</v>
      </c>
      <c r="E10" s="12" t="s">
        <v>660</v>
      </c>
      <c r="F10" s="13" t="s">
        <v>661</v>
      </c>
      <c r="G10" s="13" t="s">
        <v>662</v>
      </c>
      <c r="H10" s="13" t="s">
        <v>663</v>
      </c>
      <c r="I10" s="13" t="s">
        <v>664</v>
      </c>
      <c r="J10" s="13" t="s">
        <v>665</v>
      </c>
    </row>
    <row r="11" customFormat="false" ht="30" hidden="false" customHeight="true" outlineLevel="0" collapsed="false">
      <c r="A11" s="12" t="s">
        <v>666</v>
      </c>
      <c r="B11" s="12" t="s">
        <v>102</v>
      </c>
      <c r="C11" s="13" t="s">
        <v>103</v>
      </c>
      <c r="D11" s="12" t="s">
        <v>17</v>
      </c>
      <c r="E11" s="12" t="s">
        <v>633</v>
      </c>
      <c r="F11" s="13" t="s">
        <v>667</v>
      </c>
      <c r="G11" s="13" t="s">
        <v>668</v>
      </c>
      <c r="H11" s="13" t="s">
        <v>669</v>
      </c>
      <c r="I11" s="13" t="s">
        <v>670</v>
      </c>
      <c r="J11" s="13" t="s">
        <v>671</v>
      </c>
    </row>
    <row r="12" customFormat="false" ht="30" hidden="false" customHeight="true" outlineLevel="0" collapsed="false">
      <c r="A12" s="12" t="s">
        <v>672</v>
      </c>
      <c r="B12" s="12" t="s">
        <v>109</v>
      </c>
      <c r="C12" s="13" t="s">
        <v>110</v>
      </c>
      <c r="D12" s="12" t="s">
        <v>17</v>
      </c>
      <c r="E12" s="12" t="s">
        <v>673</v>
      </c>
      <c r="F12" s="13" t="s">
        <v>674</v>
      </c>
      <c r="G12" s="13" t="s">
        <v>675</v>
      </c>
      <c r="H12" s="13" t="s">
        <v>676</v>
      </c>
      <c r="I12" s="13" t="s">
        <v>677</v>
      </c>
      <c r="J12" s="13" t="s">
        <v>678</v>
      </c>
    </row>
    <row r="13" customFormat="false" ht="30" hidden="false" customHeight="true" outlineLevel="0" collapsed="false">
      <c r="A13" s="12" t="s">
        <v>679</v>
      </c>
      <c r="B13" s="12" t="s">
        <v>115</v>
      </c>
      <c r="C13" s="13" t="s">
        <v>116</v>
      </c>
      <c r="D13" s="12" t="s">
        <v>17</v>
      </c>
      <c r="E13" s="12" t="s">
        <v>633</v>
      </c>
      <c r="F13" s="13" t="s">
        <v>680</v>
      </c>
      <c r="G13" s="13" t="s">
        <v>681</v>
      </c>
      <c r="H13" s="13" t="s">
        <v>682</v>
      </c>
      <c r="I13" s="13" t="s">
        <v>683</v>
      </c>
      <c r="J13" s="13" t="s">
        <v>684</v>
      </c>
    </row>
    <row r="14" customFormat="false" ht="30" hidden="false" customHeight="true" outlineLevel="0" collapsed="false">
      <c r="A14" s="12" t="s">
        <v>685</v>
      </c>
      <c r="B14" s="12" t="s">
        <v>122</v>
      </c>
      <c r="C14" s="13" t="s">
        <v>123</v>
      </c>
      <c r="D14" s="12" t="s">
        <v>17</v>
      </c>
      <c r="E14" s="12" t="s">
        <v>620</v>
      </c>
      <c r="F14" s="13" t="s">
        <v>686</v>
      </c>
      <c r="G14" s="13" t="s">
        <v>687</v>
      </c>
      <c r="H14" s="13" t="s">
        <v>688</v>
      </c>
      <c r="I14" s="13" t="s">
        <v>689</v>
      </c>
      <c r="J14" s="13" t="s">
        <v>690</v>
      </c>
    </row>
    <row r="15" customFormat="false" ht="30" hidden="false" customHeight="true" outlineLevel="0" collapsed="false">
      <c r="A15" s="12" t="s">
        <v>691</v>
      </c>
      <c r="B15" s="12" t="s">
        <v>127</v>
      </c>
      <c r="C15" s="13" t="s">
        <v>128</v>
      </c>
      <c r="D15" s="12" t="s">
        <v>17</v>
      </c>
      <c r="E15" s="12" t="s">
        <v>620</v>
      </c>
      <c r="F15" s="13" t="s">
        <v>692</v>
      </c>
      <c r="G15" s="13" t="s">
        <v>693</v>
      </c>
      <c r="H15" s="13" t="s">
        <v>694</v>
      </c>
      <c r="I15" s="13" t="s">
        <v>695</v>
      </c>
      <c r="J15" s="13" t="s">
        <v>696</v>
      </c>
    </row>
    <row r="16" customFormat="false" ht="30" hidden="false" customHeight="true" outlineLevel="0" collapsed="false">
      <c r="A16" s="12" t="s">
        <v>697</v>
      </c>
      <c r="B16" s="12" t="s">
        <v>133</v>
      </c>
      <c r="C16" s="13" t="s">
        <v>134</v>
      </c>
      <c r="D16" s="12" t="s">
        <v>17</v>
      </c>
      <c r="E16" s="12" t="s">
        <v>620</v>
      </c>
      <c r="F16" s="13" t="s">
        <v>698</v>
      </c>
      <c r="G16" s="13" t="s">
        <v>699</v>
      </c>
      <c r="H16" s="13" t="s">
        <v>700</v>
      </c>
      <c r="I16" s="13" t="s">
        <v>701</v>
      </c>
      <c r="J16" s="13" t="s">
        <v>702</v>
      </c>
    </row>
    <row r="17" customFormat="false" ht="30" hidden="false" customHeight="true" outlineLevel="0" collapsed="false">
      <c r="A17" s="12" t="s">
        <v>703</v>
      </c>
      <c r="B17" s="12" t="s">
        <v>140</v>
      </c>
      <c r="C17" s="13" t="s">
        <v>141</v>
      </c>
      <c r="D17" s="12" t="s">
        <v>17</v>
      </c>
      <c r="E17" s="12" t="s">
        <v>633</v>
      </c>
      <c r="F17" s="13" t="s">
        <v>704</v>
      </c>
      <c r="G17" s="13" t="s">
        <v>705</v>
      </c>
      <c r="H17" s="13" t="s">
        <v>706</v>
      </c>
      <c r="I17" s="13" t="s">
        <v>707</v>
      </c>
      <c r="J17" s="13" t="s">
        <v>708</v>
      </c>
    </row>
    <row r="18" customFormat="false" ht="30" hidden="false" customHeight="true" outlineLevel="0" collapsed="false">
      <c r="A18" s="12" t="s">
        <v>709</v>
      </c>
      <c r="B18" s="12" t="s">
        <v>147</v>
      </c>
      <c r="C18" s="13" t="s">
        <v>148</v>
      </c>
      <c r="D18" s="12" t="s">
        <v>19</v>
      </c>
      <c r="E18" s="12" t="s">
        <v>633</v>
      </c>
      <c r="F18" s="13" t="s">
        <v>710</v>
      </c>
      <c r="G18" s="13" t="s">
        <v>711</v>
      </c>
      <c r="H18" s="13" t="s">
        <v>712</v>
      </c>
      <c r="I18" s="13" t="s">
        <v>713</v>
      </c>
      <c r="J18" s="13" t="s">
        <v>714</v>
      </c>
    </row>
    <row r="19" customFormat="false" ht="30" hidden="false" customHeight="true" outlineLevel="0" collapsed="false">
      <c r="A19" s="12" t="s">
        <v>715</v>
      </c>
      <c r="B19" s="12" t="s">
        <v>152</v>
      </c>
      <c r="C19" s="13" t="s">
        <v>153</v>
      </c>
      <c r="D19" s="12" t="s">
        <v>19</v>
      </c>
      <c r="E19" s="12" t="s">
        <v>633</v>
      </c>
      <c r="F19" s="13" t="s">
        <v>716</v>
      </c>
      <c r="G19" s="13" t="s">
        <v>717</v>
      </c>
      <c r="H19" s="13" t="s">
        <v>718</v>
      </c>
      <c r="I19" s="13" t="s">
        <v>719</v>
      </c>
      <c r="J19" s="13" t="s">
        <v>720</v>
      </c>
    </row>
    <row r="20" customFormat="false" ht="30" hidden="false" customHeight="true" outlineLevel="0" collapsed="false">
      <c r="A20" s="12" t="s">
        <v>721</v>
      </c>
      <c r="B20" s="12" t="s">
        <v>154</v>
      </c>
      <c r="C20" s="13" t="s">
        <v>155</v>
      </c>
      <c r="D20" s="12" t="s">
        <v>19</v>
      </c>
      <c r="E20" s="12" t="s">
        <v>620</v>
      </c>
      <c r="F20" s="13" t="s">
        <v>722</v>
      </c>
      <c r="G20" s="13" t="s">
        <v>723</v>
      </c>
      <c r="H20" s="13" t="s">
        <v>724</v>
      </c>
      <c r="I20" s="13" t="s">
        <v>725</v>
      </c>
      <c r="J20" s="13" t="s">
        <v>726</v>
      </c>
    </row>
    <row r="21" customFormat="false" ht="30" hidden="false" customHeight="true" outlineLevel="0" collapsed="false">
      <c r="A21" s="12" t="s">
        <v>727</v>
      </c>
      <c r="B21" s="12" t="s">
        <v>157</v>
      </c>
      <c r="C21" s="13" t="s">
        <v>158</v>
      </c>
      <c r="D21" s="12" t="s">
        <v>19</v>
      </c>
      <c r="E21" s="12" t="s">
        <v>633</v>
      </c>
      <c r="F21" s="13" t="s">
        <v>728</v>
      </c>
      <c r="G21" s="13" t="s">
        <v>729</v>
      </c>
      <c r="H21" s="13" t="s">
        <v>730</v>
      </c>
      <c r="I21" s="13" t="s">
        <v>731</v>
      </c>
      <c r="J21" s="13" t="s">
        <v>732</v>
      </c>
    </row>
    <row r="22" customFormat="false" ht="30" hidden="false" customHeight="true" outlineLevel="0" collapsed="false">
      <c r="A22" s="12" t="s">
        <v>733</v>
      </c>
      <c r="B22" s="12" t="s">
        <v>161</v>
      </c>
      <c r="C22" s="13" t="s">
        <v>162</v>
      </c>
      <c r="D22" s="12" t="s">
        <v>19</v>
      </c>
      <c r="E22" s="12" t="s">
        <v>633</v>
      </c>
      <c r="F22" s="13" t="s">
        <v>734</v>
      </c>
      <c r="G22" s="13" t="s">
        <v>735</v>
      </c>
      <c r="H22" s="13" t="s">
        <v>736</v>
      </c>
      <c r="I22" s="13" t="s">
        <v>737</v>
      </c>
      <c r="J22" s="13" t="s">
        <v>738</v>
      </c>
    </row>
    <row r="23" customFormat="false" ht="30" hidden="false" customHeight="true" outlineLevel="0" collapsed="false">
      <c r="A23" s="12" t="s">
        <v>739</v>
      </c>
      <c r="B23" s="12" t="s">
        <v>164</v>
      </c>
      <c r="C23" s="13" t="s">
        <v>165</v>
      </c>
      <c r="D23" s="12" t="s">
        <v>19</v>
      </c>
      <c r="E23" s="12" t="s">
        <v>620</v>
      </c>
      <c r="F23" s="13" t="s">
        <v>740</v>
      </c>
      <c r="G23" s="13" t="s">
        <v>741</v>
      </c>
      <c r="H23" s="13" t="s">
        <v>742</v>
      </c>
      <c r="I23" s="13" t="s">
        <v>743</v>
      </c>
      <c r="J23" s="13" t="s">
        <v>744</v>
      </c>
    </row>
    <row r="24" customFormat="false" ht="30" hidden="false" customHeight="true" outlineLevel="0" collapsed="false">
      <c r="A24" s="12" t="s">
        <v>745</v>
      </c>
      <c r="B24" s="12" t="s">
        <v>167</v>
      </c>
      <c r="C24" s="13" t="s">
        <v>168</v>
      </c>
      <c r="D24" s="12" t="s">
        <v>19</v>
      </c>
      <c r="E24" s="12" t="s">
        <v>673</v>
      </c>
      <c r="F24" s="13" t="s">
        <v>746</v>
      </c>
      <c r="G24" s="13" t="s">
        <v>747</v>
      </c>
      <c r="H24" s="13" t="s">
        <v>748</v>
      </c>
      <c r="I24" s="13" t="s">
        <v>749</v>
      </c>
      <c r="J24" s="13" t="s">
        <v>750</v>
      </c>
    </row>
    <row r="25" customFormat="false" ht="30" hidden="false" customHeight="true" outlineLevel="0" collapsed="false">
      <c r="A25" s="12" t="s">
        <v>751</v>
      </c>
      <c r="B25" s="12" t="s">
        <v>171</v>
      </c>
      <c r="C25" s="13" t="s">
        <v>172</v>
      </c>
      <c r="D25" s="12" t="s">
        <v>21</v>
      </c>
      <c r="E25" s="12" t="s">
        <v>633</v>
      </c>
      <c r="F25" s="13" t="s">
        <v>752</v>
      </c>
      <c r="G25" s="13" t="s">
        <v>753</v>
      </c>
      <c r="H25" s="13" t="s">
        <v>754</v>
      </c>
      <c r="I25" s="13" t="s">
        <v>755</v>
      </c>
      <c r="J25" s="13" t="s">
        <v>756</v>
      </c>
    </row>
    <row r="26" customFormat="false" ht="30" hidden="false" customHeight="true" outlineLevel="0" collapsed="false">
      <c r="A26" s="12" t="s">
        <v>757</v>
      </c>
      <c r="B26" s="12" t="s">
        <v>173</v>
      </c>
      <c r="C26" s="13" t="s">
        <v>174</v>
      </c>
      <c r="D26" s="12" t="s">
        <v>21</v>
      </c>
      <c r="E26" s="12" t="s">
        <v>633</v>
      </c>
      <c r="F26" s="13" t="s">
        <v>758</v>
      </c>
      <c r="G26" s="13" t="s">
        <v>759</v>
      </c>
      <c r="H26" s="13" t="s">
        <v>760</v>
      </c>
      <c r="I26" s="13" t="s">
        <v>761</v>
      </c>
      <c r="J26" s="13" t="s">
        <v>762</v>
      </c>
    </row>
    <row r="27" customFormat="false" ht="30" hidden="false" customHeight="true" outlineLevel="0" collapsed="false">
      <c r="A27" s="12" t="s">
        <v>763</v>
      </c>
      <c r="B27" s="12" t="s">
        <v>176</v>
      </c>
      <c r="C27" s="13" t="s">
        <v>177</v>
      </c>
      <c r="D27" s="12" t="s">
        <v>21</v>
      </c>
      <c r="E27" s="12" t="s">
        <v>620</v>
      </c>
      <c r="F27" s="13" t="s">
        <v>764</v>
      </c>
      <c r="G27" s="13" t="s">
        <v>765</v>
      </c>
      <c r="H27" s="13" t="s">
        <v>766</v>
      </c>
      <c r="I27" s="13" t="s">
        <v>767</v>
      </c>
      <c r="J27" s="13" t="s">
        <v>768</v>
      </c>
    </row>
    <row r="28" customFormat="false" ht="30" hidden="false" customHeight="true" outlineLevel="0" collapsed="false">
      <c r="A28" s="12" t="s">
        <v>769</v>
      </c>
      <c r="B28" s="12" t="s">
        <v>179</v>
      </c>
      <c r="C28" s="13" t="s">
        <v>180</v>
      </c>
      <c r="D28" s="12" t="s">
        <v>21</v>
      </c>
      <c r="E28" s="12" t="s">
        <v>633</v>
      </c>
      <c r="F28" s="13" t="s">
        <v>770</v>
      </c>
      <c r="G28" s="13" t="s">
        <v>771</v>
      </c>
      <c r="H28" s="13" t="s">
        <v>772</v>
      </c>
      <c r="I28" s="13" t="s">
        <v>773</v>
      </c>
      <c r="J28" s="13" t="s">
        <v>774</v>
      </c>
    </row>
    <row r="29" customFormat="false" ht="30" hidden="false" customHeight="true" outlineLevel="0" collapsed="false">
      <c r="A29" s="12" t="s">
        <v>775</v>
      </c>
      <c r="B29" s="12" t="s">
        <v>182</v>
      </c>
      <c r="C29" s="13" t="s">
        <v>183</v>
      </c>
      <c r="D29" s="12" t="s">
        <v>21</v>
      </c>
      <c r="E29" s="12" t="s">
        <v>620</v>
      </c>
      <c r="F29" s="13" t="s">
        <v>776</v>
      </c>
      <c r="G29" s="13" t="s">
        <v>777</v>
      </c>
      <c r="H29" s="13" t="s">
        <v>778</v>
      </c>
      <c r="I29" s="13" t="s">
        <v>779</v>
      </c>
      <c r="J29" s="13" t="s">
        <v>780</v>
      </c>
    </row>
    <row r="30" customFormat="false" ht="30" hidden="false" customHeight="true" outlineLevel="0" collapsed="false">
      <c r="A30" s="12" t="s">
        <v>781</v>
      </c>
      <c r="B30" s="12" t="s">
        <v>185</v>
      </c>
      <c r="C30" s="13" t="s">
        <v>186</v>
      </c>
      <c r="D30" s="12" t="s">
        <v>21</v>
      </c>
      <c r="E30" s="12" t="s">
        <v>620</v>
      </c>
      <c r="F30" s="13" t="s">
        <v>782</v>
      </c>
      <c r="G30" s="13" t="s">
        <v>783</v>
      </c>
      <c r="H30" s="13" t="s">
        <v>784</v>
      </c>
      <c r="I30" s="13" t="s">
        <v>785</v>
      </c>
      <c r="J30" s="13" t="s">
        <v>786</v>
      </c>
    </row>
    <row r="31" customFormat="false" ht="30" hidden="false" customHeight="true" outlineLevel="0" collapsed="false">
      <c r="A31" s="12" t="s">
        <v>787</v>
      </c>
      <c r="B31" s="12" t="s">
        <v>189</v>
      </c>
      <c r="C31" s="13" t="s">
        <v>190</v>
      </c>
      <c r="D31" s="12" t="s">
        <v>21</v>
      </c>
      <c r="E31" s="12" t="s">
        <v>633</v>
      </c>
      <c r="F31" s="13" t="s">
        <v>788</v>
      </c>
      <c r="G31" s="13" t="s">
        <v>789</v>
      </c>
      <c r="H31" s="13" t="s">
        <v>790</v>
      </c>
      <c r="I31" s="13" t="s">
        <v>791</v>
      </c>
      <c r="J31" s="13" t="s">
        <v>792</v>
      </c>
    </row>
    <row r="32" customFormat="false" ht="30" hidden="false" customHeight="true" outlineLevel="0" collapsed="false">
      <c r="A32" s="12" t="s">
        <v>793</v>
      </c>
      <c r="B32" s="12" t="s">
        <v>191</v>
      </c>
      <c r="C32" s="13" t="s">
        <v>192</v>
      </c>
      <c r="D32" s="12" t="s">
        <v>23</v>
      </c>
      <c r="E32" s="12" t="s">
        <v>633</v>
      </c>
      <c r="F32" s="13" t="s">
        <v>794</v>
      </c>
      <c r="G32" s="13" t="s">
        <v>795</v>
      </c>
      <c r="H32" s="13" t="s">
        <v>796</v>
      </c>
      <c r="I32" s="13" t="s">
        <v>797</v>
      </c>
      <c r="J32" s="13" t="s">
        <v>798</v>
      </c>
    </row>
    <row r="33" customFormat="false" ht="30" hidden="false" customHeight="true" outlineLevel="0" collapsed="false">
      <c r="A33" s="12" t="s">
        <v>799</v>
      </c>
      <c r="B33" s="12" t="s">
        <v>195</v>
      </c>
      <c r="C33" s="13" t="s">
        <v>196</v>
      </c>
      <c r="D33" s="12" t="s">
        <v>23</v>
      </c>
      <c r="E33" s="12" t="s">
        <v>633</v>
      </c>
      <c r="F33" s="13" t="s">
        <v>800</v>
      </c>
      <c r="G33" s="13" t="s">
        <v>801</v>
      </c>
      <c r="H33" s="13" t="s">
        <v>802</v>
      </c>
      <c r="I33" s="13" t="s">
        <v>803</v>
      </c>
      <c r="J33" s="13" t="s">
        <v>804</v>
      </c>
    </row>
    <row r="34" customFormat="false" ht="30" hidden="false" customHeight="true" outlineLevel="0" collapsed="false">
      <c r="A34" s="12" t="s">
        <v>805</v>
      </c>
      <c r="B34" s="12" t="s">
        <v>198</v>
      </c>
      <c r="C34" s="13" t="s">
        <v>199</v>
      </c>
      <c r="D34" s="12" t="s">
        <v>23</v>
      </c>
      <c r="E34" s="12" t="s">
        <v>620</v>
      </c>
      <c r="F34" s="13" t="s">
        <v>806</v>
      </c>
      <c r="G34" s="13" t="s">
        <v>807</v>
      </c>
      <c r="H34" s="13" t="s">
        <v>808</v>
      </c>
      <c r="I34" s="13" t="s">
        <v>809</v>
      </c>
      <c r="J34" s="13" t="s">
        <v>810</v>
      </c>
    </row>
    <row r="35" customFormat="false" ht="30" hidden="false" customHeight="true" outlineLevel="0" collapsed="false">
      <c r="A35" s="12" t="s">
        <v>811</v>
      </c>
      <c r="B35" s="12" t="s">
        <v>201</v>
      </c>
      <c r="C35" s="13" t="s">
        <v>202</v>
      </c>
      <c r="D35" s="12" t="s">
        <v>23</v>
      </c>
      <c r="E35" s="12" t="s">
        <v>620</v>
      </c>
      <c r="F35" s="13" t="s">
        <v>812</v>
      </c>
      <c r="G35" s="13" t="s">
        <v>813</v>
      </c>
      <c r="H35" s="13" t="s">
        <v>814</v>
      </c>
      <c r="I35" s="13" t="s">
        <v>815</v>
      </c>
      <c r="J35" s="13" t="s">
        <v>816</v>
      </c>
    </row>
    <row r="36" customFormat="false" ht="30" hidden="false" customHeight="true" outlineLevel="0" collapsed="false">
      <c r="A36" s="12" t="s">
        <v>817</v>
      </c>
      <c r="B36" s="12" t="s">
        <v>205</v>
      </c>
      <c r="C36" s="13" t="s">
        <v>206</v>
      </c>
      <c r="D36" s="12" t="s">
        <v>23</v>
      </c>
      <c r="E36" s="12" t="s">
        <v>620</v>
      </c>
      <c r="F36" s="13" t="s">
        <v>818</v>
      </c>
      <c r="G36" s="13" t="s">
        <v>819</v>
      </c>
      <c r="H36" s="13" t="s">
        <v>820</v>
      </c>
      <c r="I36" s="13" t="s">
        <v>821</v>
      </c>
      <c r="J36" s="13" t="s">
        <v>822</v>
      </c>
    </row>
    <row r="37" customFormat="false" ht="30" hidden="false" customHeight="true" outlineLevel="0" collapsed="false">
      <c r="A37" s="12" t="s">
        <v>823</v>
      </c>
      <c r="B37" s="12" t="s">
        <v>208</v>
      </c>
      <c r="C37" s="13" t="s">
        <v>209</v>
      </c>
      <c r="D37" s="12" t="s">
        <v>23</v>
      </c>
      <c r="E37" s="12" t="s">
        <v>633</v>
      </c>
      <c r="F37" s="13" t="s">
        <v>824</v>
      </c>
      <c r="G37" s="13" t="s">
        <v>825</v>
      </c>
      <c r="H37" s="13" t="s">
        <v>826</v>
      </c>
      <c r="I37" s="13" t="s">
        <v>827</v>
      </c>
      <c r="J37" s="13" t="s">
        <v>828</v>
      </c>
    </row>
    <row r="38" customFormat="false" ht="30" hidden="false" customHeight="true" outlineLevel="0" collapsed="false">
      <c r="A38" s="12" t="s">
        <v>829</v>
      </c>
      <c r="B38" s="12" t="s">
        <v>211</v>
      </c>
      <c r="C38" s="13" t="s">
        <v>212</v>
      </c>
      <c r="D38" s="12" t="s">
        <v>23</v>
      </c>
      <c r="E38" s="12" t="s">
        <v>660</v>
      </c>
      <c r="F38" s="13" t="s">
        <v>830</v>
      </c>
      <c r="G38" s="13" t="s">
        <v>831</v>
      </c>
      <c r="H38" s="13" t="s">
        <v>832</v>
      </c>
      <c r="I38" s="13" t="s">
        <v>833</v>
      </c>
      <c r="J38" s="13" t="s">
        <v>834</v>
      </c>
    </row>
    <row r="39" customFormat="false" ht="30" hidden="false" customHeight="true" outlineLevel="0" collapsed="false">
      <c r="A39" s="12" t="s">
        <v>835</v>
      </c>
      <c r="B39" s="12" t="s">
        <v>213</v>
      </c>
      <c r="C39" s="13" t="s">
        <v>214</v>
      </c>
      <c r="D39" s="12" t="s">
        <v>25</v>
      </c>
      <c r="E39" s="12" t="s">
        <v>633</v>
      </c>
      <c r="F39" s="13" t="s">
        <v>836</v>
      </c>
      <c r="G39" s="13" t="s">
        <v>837</v>
      </c>
      <c r="H39" s="13" t="s">
        <v>838</v>
      </c>
      <c r="I39" s="13" t="s">
        <v>839</v>
      </c>
      <c r="J39" s="13" t="s">
        <v>840</v>
      </c>
    </row>
    <row r="40" customFormat="false" ht="30" hidden="false" customHeight="true" outlineLevel="0" collapsed="false">
      <c r="A40" s="12" t="s">
        <v>841</v>
      </c>
      <c r="B40" s="12" t="s">
        <v>215</v>
      </c>
      <c r="C40" s="13" t="s">
        <v>216</v>
      </c>
      <c r="D40" s="12" t="s">
        <v>25</v>
      </c>
      <c r="E40" s="12" t="s">
        <v>633</v>
      </c>
      <c r="F40" s="13" t="s">
        <v>842</v>
      </c>
      <c r="G40" s="13" t="s">
        <v>843</v>
      </c>
      <c r="H40" s="13" t="s">
        <v>844</v>
      </c>
      <c r="I40" s="13" t="s">
        <v>845</v>
      </c>
      <c r="J40" s="13" t="s">
        <v>846</v>
      </c>
    </row>
    <row r="41" customFormat="false" ht="30" hidden="false" customHeight="true" outlineLevel="0" collapsed="false">
      <c r="A41" s="12" t="s">
        <v>847</v>
      </c>
      <c r="B41" s="12" t="s">
        <v>217</v>
      </c>
      <c r="C41" s="13" t="s">
        <v>218</v>
      </c>
      <c r="D41" s="12" t="s">
        <v>25</v>
      </c>
      <c r="E41" s="12" t="s">
        <v>633</v>
      </c>
      <c r="F41" s="13" t="s">
        <v>848</v>
      </c>
      <c r="G41" s="13" t="s">
        <v>849</v>
      </c>
      <c r="H41" s="13" t="s">
        <v>850</v>
      </c>
      <c r="I41" s="13" t="s">
        <v>851</v>
      </c>
      <c r="J41" s="13" t="s">
        <v>852</v>
      </c>
    </row>
    <row r="42" customFormat="false" ht="30" hidden="false" customHeight="true" outlineLevel="0" collapsed="false">
      <c r="A42" s="12" t="s">
        <v>853</v>
      </c>
      <c r="B42" s="12" t="s">
        <v>221</v>
      </c>
      <c r="C42" s="13" t="s">
        <v>222</v>
      </c>
      <c r="D42" s="12" t="s">
        <v>25</v>
      </c>
      <c r="E42" s="12" t="s">
        <v>620</v>
      </c>
      <c r="F42" s="13" t="s">
        <v>854</v>
      </c>
      <c r="G42" s="13" t="s">
        <v>855</v>
      </c>
      <c r="H42" s="13" t="s">
        <v>856</v>
      </c>
      <c r="I42" s="13" t="s">
        <v>857</v>
      </c>
      <c r="J42" s="13" t="s">
        <v>858</v>
      </c>
    </row>
    <row r="43" customFormat="false" ht="30" hidden="false" customHeight="true" outlineLevel="0" collapsed="false">
      <c r="A43" s="12" t="s">
        <v>859</v>
      </c>
      <c r="B43" s="12" t="s">
        <v>223</v>
      </c>
      <c r="C43" s="13" t="s">
        <v>224</v>
      </c>
      <c r="D43" s="12" t="s">
        <v>25</v>
      </c>
      <c r="E43" s="12" t="s">
        <v>633</v>
      </c>
      <c r="F43" s="13" t="s">
        <v>860</v>
      </c>
      <c r="G43" s="13" t="s">
        <v>861</v>
      </c>
      <c r="H43" s="13" t="s">
        <v>862</v>
      </c>
      <c r="I43" s="13" t="s">
        <v>863</v>
      </c>
      <c r="J43" s="13" t="s">
        <v>864</v>
      </c>
    </row>
    <row r="44" customFormat="false" ht="30" hidden="false" customHeight="true" outlineLevel="0" collapsed="false">
      <c r="A44" s="12" t="s">
        <v>865</v>
      </c>
      <c r="B44" s="12" t="s">
        <v>227</v>
      </c>
      <c r="C44" s="13" t="s">
        <v>228</v>
      </c>
      <c r="D44" s="12" t="s">
        <v>25</v>
      </c>
      <c r="E44" s="12" t="s">
        <v>620</v>
      </c>
      <c r="F44" s="13" t="s">
        <v>866</v>
      </c>
      <c r="G44" s="13" t="s">
        <v>867</v>
      </c>
      <c r="H44" s="13" t="s">
        <v>868</v>
      </c>
      <c r="I44" s="13" t="s">
        <v>869</v>
      </c>
      <c r="J44" s="13" t="s">
        <v>870</v>
      </c>
    </row>
    <row r="45" customFormat="false" ht="30" hidden="false" customHeight="true" outlineLevel="0" collapsed="false">
      <c r="A45" s="12" t="s">
        <v>871</v>
      </c>
      <c r="B45" s="12" t="s">
        <v>229</v>
      </c>
      <c r="C45" s="13" t="s">
        <v>230</v>
      </c>
      <c r="D45" s="12" t="s">
        <v>25</v>
      </c>
      <c r="E45" s="12" t="s">
        <v>660</v>
      </c>
      <c r="F45" s="13" t="s">
        <v>872</v>
      </c>
      <c r="G45" s="13" t="s">
        <v>873</v>
      </c>
      <c r="H45" s="13" t="s">
        <v>874</v>
      </c>
      <c r="I45" s="13" t="s">
        <v>875</v>
      </c>
      <c r="J45" s="13" t="s">
        <v>876</v>
      </c>
    </row>
    <row r="46" customFormat="false" ht="30" hidden="false" customHeight="true" outlineLevel="0" collapsed="false">
      <c r="A46" s="12" t="s">
        <v>877</v>
      </c>
      <c r="B46" s="12" t="s">
        <v>231</v>
      </c>
      <c r="C46" s="13" t="s">
        <v>232</v>
      </c>
      <c r="D46" s="12" t="s">
        <v>27</v>
      </c>
      <c r="E46" s="12" t="s">
        <v>633</v>
      </c>
      <c r="F46" s="13" t="s">
        <v>878</v>
      </c>
      <c r="G46" s="13" t="s">
        <v>879</v>
      </c>
      <c r="H46" s="13" t="s">
        <v>880</v>
      </c>
      <c r="I46" s="13" t="s">
        <v>881</v>
      </c>
      <c r="J46" s="13" t="s">
        <v>882</v>
      </c>
    </row>
    <row r="47" customFormat="false" ht="30" hidden="false" customHeight="true" outlineLevel="0" collapsed="false">
      <c r="A47" s="12" t="s">
        <v>883</v>
      </c>
      <c r="B47" s="12" t="s">
        <v>234</v>
      </c>
      <c r="C47" s="13" t="s">
        <v>235</v>
      </c>
      <c r="D47" s="12" t="s">
        <v>27</v>
      </c>
      <c r="E47" s="12" t="s">
        <v>633</v>
      </c>
      <c r="F47" s="13" t="s">
        <v>884</v>
      </c>
      <c r="G47" s="13" t="s">
        <v>885</v>
      </c>
      <c r="H47" s="13" t="s">
        <v>886</v>
      </c>
      <c r="I47" s="13" t="s">
        <v>887</v>
      </c>
      <c r="J47" s="13" t="s">
        <v>888</v>
      </c>
    </row>
    <row r="48" customFormat="false" ht="30" hidden="false" customHeight="true" outlineLevel="0" collapsed="false">
      <c r="A48" s="12" t="s">
        <v>889</v>
      </c>
      <c r="B48" s="12" t="s">
        <v>236</v>
      </c>
      <c r="C48" s="13" t="s">
        <v>237</v>
      </c>
      <c r="D48" s="12" t="s">
        <v>27</v>
      </c>
      <c r="E48" s="12" t="s">
        <v>620</v>
      </c>
      <c r="F48" s="13" t="s">
        <v>890</v>
      </c>
      <c r="G48" s="13" t="s">
        <v>891</v>
      </c>
      <c r="H48" s="13" t="s">
        <v>892</v>
      </c>
      <c r="I48" s="13" t="s">
        <v>893</v>
      </c>
      <c r="J48" s="13" t="s">
        <v>894</v>
      </c>
    </row>
    <row r="49" customFormat="false" ht="30" hidden="false" customHeight="true" outlineLevel="0" collapsed="false">
      <c r="A49" s="12" t="s">
        <v>895</v>
      </c>
      <c r="B49" s="12" t="s">
        <v>239</v>
      </c>
      <c r="C49" s="13" t="s">
        <v>240</v>
      </c>
      <c r="D49" s="12" t="s">
        <v>27</v>
      </c>
      <c r="E49" s="12" t="s">
        <v>660</v>
      </c>
      <c r="F49" s="13" t="s">
        <v>896</v>
      </c>
      <c r="G49" s="13" t="s">
        <v>897</v>
      </c>
      <c r="H49" s="13" t="s">
        <v>898</v>
      </c>
      <c r="I49" s="13" t="s">
        <v>899</v>
      </c>
      <c r="J49" s="13" t="s">
        <v>900</v>
      </c>
    </row>
    <row r="50" customFormat="false" ht="30" hidden="false" customHeight="true" outlineLevel="0" collapsed="false">
      <c r="A50" s="12" t="s">
        <v>901</v>
      </c>
      <c r="B50" s="12" t="s">
        <v>241</v>
      </c>
      <c r="C50" s="13" t="s">
        <v>242</v>
      </c>
      <c r="D50" s="12" t="s">
        <v>27</v>
      </c>
      <c r="E50" s="12" t="s">
        <v>660</v>
      </c>
      <c r="F50" s="13" t="s">
        <v>902</v>
      </c>
      <c r="G50" s="13" t="s">
        <v>903</v>
      </c>
      <c r="H50" s="13" t="s">
        <v>904</v>
      </c>
      <c r="I50" s="13" t="s">
        <v>905</v>
      </c>
      <c r="J50" s="13" t="s">
        <v>906</v>
      </c>
    </row>
    <row r="51" customFormat="false" ht="30" hidden="false" customHeight="true" outlineLevel="0" collapsed="false">
      <c r="A51" s="12" t="s">
        <v>907</v>
      </c>
      <c r="B51" s="12" t="s">
        <v>244</v>
      </c>
      <c r="C51" s="13" t="s">
        <v>245</v>
      </c>
      <c r="D51" s="12" t="s">
        <v>27</v>
      </c>
      <c r="E51" s="12" t="s">
        <v>660</v>
      </c>
      <c r="F51" s="13" t="s">
        <v>908</v>
      </c>
      <c r="G51" s="13" t="s">
        <v>909</v>
      </c>
      <c r="H51" s="13" t="s">
        <v>910</v>
      </c>
      <c r="I51" s="13" t="s">
        <v>911</v>
      </c>
      <c r="J51" s="13" t="s">
        <v>912</v>
      </c>
    </row>
    <row r="52" customFormat="false" ht="30" hidden="false" customHeight="true" outlineLevel="0" collapsed="false">
      <c r="A52" s="12" t="s">
        <v>913</v>
      </c>
      <c r="B52" s="12" t="s">
        <v>247</v>
      </c>
      <c r="C52" s="13" t="s">
        <v>248</v>
      </c>
      <c r="D52" s="12" t="s">
        <v>27</v>
      </c>
      <c r="E52" s="12" t="s">
        <v>673</v>
      </c>
      <c r="F52" s="13" t="s">
        <v>914</v>
      </c>
      <c r="G52" s="13" t="s">
        <v>915</v>
      </c>
      <c r="H52" s="13" t="s">
        <v>916</v>
      </c>
      <c r="I52" s="13" t="s">
        <v>917</v>
      </c>
      <c r="J52" s="13" t="s">
        <v>918</v>
      </c>
    </row>
    <row r="53" customFormat="false" ht="30" hidden="false" customHeight="true" outlineLevel="0" collapsed="false">
      <c r="A53" s="12" t="s">
        <v>919</v>
      </c>
      <c r="B53" s="12" t="s">
        <v>250</v>
      </c>
      <c r="C53" s="13" t="s">
        <v>251</v>
      </c>
      <c r="D53" s="12" t="s">
        <v>29</v>
      </c>
      <c r="E53" s="12" t="s">
        <v>673</v>
      </c>
      <c r="F53" s="13" t="s">
        <v>920</v>
      </c>
      <c r="G53" s="13" t="s">
        <v>921</v>
      </c>
      <c r="H53" s="13" t="s">
        <v>922</v>
      </c>
      <c r="I53" s="13" t="s">
        <v>923</v>
      </c>
      <c r="J53" s="13" t="s">
        <v>924</v>
      </c>
    </row>
    <row r="54" customFormat="false" ht="30" hidden="false" customHeight="true" outlineLevel="0" collapsed="false">
      <c r="A54" s="12" t="s">
        <v>925</v>
      </c>
      <c r="B54" s="12" t="s">
        <v>252</v>
      </c>
      <c r="C54" s="13" t="s">
        <v>253</v>
      </c>
      <c r="D54" s="12" t="s">
        <v>29</v>
      </c>
      <c r="E54" s="12" t="s">
        <v>620</v>
      </c>
      <c r="F54" s="13" t="s">
        <v>926</v>
      </c>
      <c r="G54" s="13" t="s">
        <v>927</v>
      </c>
      <c r="H54" s="13" t="s">
        <v>928</v>
      </c>
      <c r="I54" s="13" t="s">
        <v>929</v>
      </c>
      <c r="J54" s="13" t="s">
        <v>930</v>
      </c>
    </row>
    <row r="55" customFormat="false" ht="30" hidden="false" customHeight="true" outlineLevel="0" collapsed="false">
      <c r="A55" s="12" t="s">
        <v>931</v>
      </c>
      <c r="B55" s="12" t="s">
        <v>254</v>
      </c>
      <c r="C55" s="13" t="s">
        <v>255</v>
      </c>
      <c r="D55" s="12" t="s">
        <v>29</v>
      </c>
      <c r="E55" s="12" t="s">
        <v>660</v>
      </c>
      <c r="F55" s="13" t="s">
        <v>932</v>
      </c>
      <c r="G55" s="13" t="s">
        <v>933</v>
      </c>
      <c r="H55" s="13" t="s">
        <v>934</v>
      </c>
      <c r="I55" s="13" t="s">
        <v>935</v>
      </c>
      <c r="J55" s="13" t="s">
        <v>936</v>
      </c>
    </row>
    <row r="56" customFormat="false" ht="30" hidden="false" customHeight="true" outlineLevel="0" collapsed="false">
      <c r="A56" s="12" t="s">
        <v>937</v>
      </c>
      <c r="B56" s="12" t="s">
        <v>256</v>
      </c>
      <c r="C56" s="13" t="s">
        <v>257</v>
      </c>
      <c r="D56" s="12" t="s">
        <v>29</v>
      </c>
      <c r="E56" s="12" t="s">
        <v>660</v>
      </c>
      <c r="F56" s="13" t="s">
        <v>938</v>
      </c>
      <c r="G56" s="13" t="s">
        <v>939</v>
      </c>
      <c r="H56" s="13" t="s">
        <v>940</v>
      </c>
      <c r="I56" s="13" t="s">
        <v>941</v>
      </c>
      <c r="J56" s="13" t="s">
        <v>942</v>
      </c>
    </row>
    <row r="57" customFormat="false" ht="30" hidden="false" customHeight="true" outlineLevel="0" collapsed="false">
      <c r="A57" s="12" t="s">
        <v>943</v>
      </c>
      <c r="B57" s="12" t="s">
        <v>258</v>
      </c>
      <c r="C57" s="13" t="s">
        <v>259</v>
      </c>
      <c r="D57" s="12" t="s">
        <v>29</v>
      </c>
      <c r="E57" s="12" t="s">
        <v>633</v>
      </c>
      <c r="F57" s="13" t="s">
        <v>944</v>
      </c>
      <c r="G57" s="13" t="s">
        <v>945</v>
      </c>
      <c r="H57" s="13" t="s">
        <v>946</v>
      </c>
      <c r="I57" s="13" t="s">
        <v>947</v>
      </c>
      <c r="J57" s="13" t="s">
        <v>948</v>
      </c>
    </row>
    <row r="58" customFormat="false" ht="30" hidden="false" customHeight="true" outlineLevel="0" collapsed="false">
      <c r="A58" s="12" t="s">
        <v>949</v>
      </c>
      <c r="B58" s="12" t="s">
        <v>260</v>
      </c>
      <c r="C58" s="13" t="s">
        <v>261</v>
      </c>
      <c r="D58" s="12" t="s">
        <v>29</v>
      </c>
      <c r="E58" s="12" t="s">
        <v>633</v>
      </c>
      <c r="F58" s="13" t="s">
        <v>950</v>
      </c>
      <c r="G58" s="13" t="s">
        <v>951</v>
      </c>
      <c r="H58" s="13" t="s">
        <v>952</v>
      </c>
      <c r="I58" s="13" t="s">
        <v>953</v>
      </c>
      <c r="J58" s="13" t="s">
        <v>954</v>
      </c>
    </row>
    <row r="59" customFormat="false" ht="30" hidden="false" customHeight="true" outlineLevel="0" collapsed="false">
      <c r="A59" s="12" t="s">
        <v>955</v>
      </c>
      <c r="B59" s="12" t="s">
        <v>262</v>
      </c>
      <c r="C59" s="13" t="s">
        <v>263</v>
      </c>
      <c r="D59" s="12" t="s">
        <v>29</v>
      </c>
      <c r="E59" s="12" t="s">
        <v>620</v>
      </c>
      <c r="F59" s="13" t="s">
        <v>956</v>
      </c>
      <c r="G59" s="13" t="s">
        <v>957</v>
      </c>
      <c r="H59" s="13" t="s">
        <v>958</v>
      </c>
      <c r="I59" s="13" t="s">
        <v>959</v>
      </c>
      <c r="J59" s="13" t="s">
        <v>960</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3" min="3" style="0" width="34"/>
    <col collapsed="false" customWidth="true" hidden="false" outlineLevel="0" max="5" min="4" style="0" width="40"/>
    <col collapsed="false" customWidth="true" hidden="false" outlineLevel="0" max="6" min="6" style="0" width="12"/>
    <col collapsed="false" customWidth="true" hidden="false" outlineLevel="0" max="8" min="7" style="0" width="42"/>
  </cols>
  <sheetData>
    <row r="1" customFormat="false" ht="21.75" hidden="false" customHeight="true" outlineLevel="0" collapsed="false">
      <c r="A1" s="10" t="s">
        <v>961</v>
      </c>
      <c r="B1" s="10"/>
      <c r="C1" s="10"/>
      <c r="D1" s="10"/>
      <c r="E1" s="10"/>
      <c r="F1" s="10"/>
      <c r="G1" s="10"/>
      <c r="H1" s="10"/>
    </row>
    <row r="3" customFormat="false" ht="30" hidden="false" customHeight="true" outlineLevel="0" collapsed="false">
      <c r="A3" s="11" t="s">
        <v>611</v>
      </c>
      <c r="B3" s="11" t="s">
        <v>962</v>
      </c>
      <c r="C3" s="11" t="s">
        <v>963</v>
      </c>
      <c r="D3" s="11" t="s">
        <v>964</v>
      </c>
      <c r="E3" s="11" t="s">
        <v>965</v>
      </c>
      <c r="F3" s="11" t="s">
        <v>966</v>
      </c>
      <c r="G3" s="11" t="s">
        <v>618</v>
      </c>
      <c r="H3" s="11" t="s">
        <v>967</v>
      </c>
    </row>
    <row r="4" customFormat="false" ht="30" hidden="false" customHeight="true" outlineLevel="0" collapsed="false">
      <c r="A4" s="12" t="s">
        <v>619</v>
      </c>
      <c r="B4" s="13" t="s">
        <v>968</v>
      </c>
      <c r="C4" s="13" t="s">
        <v>969</v>
      </c>
      <c r="D4" s="13" t="s">
        <v>970</v>
      </c>
      <c r="E4" s="13" t="s">
        <v>971</v>
      </c>
      <c r="F4" s="17" t="n">
        <v>0.91</v>
      </c>
      <c r="G4" s="13" t="s">
        <v>625</v>
      </c>
      <c r="H4" s="13" t="s">
        <v>972</v>
      </c>
    </row>
    <row r="5" customFormat="false" ht="30" hidden="false" customHeight="true" outlineLevel="0" collapsed="false">
      <c r="A5" s="12" t="s">
        <v>626</v>
      </c>
      <c r="B5" s="13" t="s">
        <v>973</v>
      </c>
      <c r="C5" s="13" t="s">
        <v>969</v>
      </c>
      <c r="D5" s="13" t="s">
        <v>974</v>
      </c>
      <c r="E5" s="13" t="s">
        <v>975</v>
      </c>
      <c r="F5" s="17" t="n">
        <v>0.88</v>
      </c>
      <c r="G5" s="13" t="s">
        <v>631</v>
      </c>
      <c r="H5" s="13" t="s">
        <v>976</v>
      </c>
    </row>
    <row r="6" customFormat="false" ht="30" hidden="false" customHeight="true" outlineLevel="0" collapsed="false">
      <c r="A6" s="12" t="s">
        <v>632</v>
      </c>
      <c r="B6" s="13" t="s">
        <v>977</v>
      </c>
      <c r="C6" s="13" t="s">
        <v>969</v>
      </c>
      <c r="D6" s="13" t="s">
        <v>978</v>
      </c>
      <c r="E6" s="13" t="s">
        <v>979</v>
      </c>
      <c r="F6" s="17" t="n">
        <v>0.85</v>
      </c>
      <c r="G6" s="13" t="s">
        <v>638</v>
      </c>
      <c r="H6" s="13" t="s">
        <v>980</v>
      </c>
    </row>
    <row r="7" customFormat="false" ht="30" hidden="false" customHeight="true" outlineLevel="0" collapsed="false">
      <c r="A7" s="12" t="s">
        <v>639</v>
      </c>
      <c r="B7" s="13" t="s">
        <v>981</v>
      </c>
      <c r="C7" s="13" t="s">
        <v>982</v>
      </c>
      <c r="D7" s="13" t="s">
        <v>983</v>
      </c>
      <c r="E7" s="13" t="s">
        <v>984</v>
      </c>
      <c r="F7" s="17" t="n">
        <v>0.95</v>
      </c>
      <c r="G7" s="13" t="s">
        <v>645</v>
      </c>
      <c r="H7" s="13" t="s">
        <v>985</v>
      </c>
    </row>
    <row r="8" customFormat="false" ht="30" hidden="false" customHeight="true" outlineLevel="0" collapsed="false">
      <c r="A8" s="12" t="s">
        <v>646</v>
      </c>
      <c r="B8" s="13" t="s">
        <v>986</v>
      </c>
      <c r="C8" s="13" t="s">
        <v>982</v>
      </c>
      <c r="D8" s="13" t="s">
        <v>987</v>
      </c>
      <c r="E8" s="13" t="s">
        <v>988</v>
      </c>
      <c r="F8" s="17" t="n">
        <v>0.93</v>
      </c>
      <c r="G8" s="13" t="s">
        <v>651</v>
      </c>
      <c r="H8" s="13" t="s">
        <v>989</v>
      </c>
    </row>
    <row r="9" customFormat="false" ht="30" hidden="false" customHeight="true" outlineLevel="0" collapsed="false">
      <c r="A9" s="12" t="s">
        <v>652</v>
      </c>
      <c r="B9" s="13" t="s">
        <v>990</v>
      </c>
      <c r="C9" s="13" t="s">
        <v>982</v>
      </c>
      <c r="D9" s="13" t="s">
        <v>991</v>
      </c>
      <c r="E9" s="13" t="s">
        <v>992</v>
      </c>
      <c r="F9" s="17" t="n">
        <v>0.9</v>
      </c>
      <c r="G9" s="13" t="s">
        <v>658</v>
      </c>
      <c r="H9" s="13" t="s">
        <v>993</v>
      </c>
    </row>
    <row r="10" customFormat="false" ht="30" hidden="false" customHeight="true" outlineLevel="0" collapsed="false">
      <c r="A10" s="12" t="s">
        <v>659</v>
      </c>
      <c r="B10" s="13" t="s">
        <v>994</v>
      </c>
      <c r="C10" s="13" t="s">
        <v>969</v>
      </c>
      <c r="D10" s="13" t="s">
        <v>995</v>
      </c>
      <c r="E10" s="13" t="s">
        <v>996</v>
      </c>
      <c r="F10" s="17" t="n">
        <v>0.89</v>
      </c>
      <c r="G10" s="13" t="s">
        <v>665</v>
      </c>
      <c r="H10" s="13" t="s">
        <v>997</v>
      </c>
    </row>
    <row r="11" customFormat="false" ht="30" hidden="false" customHeight="true" outlineLevel="0" collapsed="false">
      <c r="A11" s="12" t="s">
        <v>666</v>
      </c>
      <c r="B11" s="13" t="s">
        <v>998</v>
      </c>
      <c r="C11" s="13" t="s">
        <v>969</v>
      </c>
      <c r="D11" s="13" t="s">
        <v>999</v>
      </c>
      <c r="E11" s="13" t="s">
        <v>1000</v>
      </c>
      <c r="F11" s="17" t="n">
        <v>0.87</v>
      </c>
      <c r="G11" s="13" t="s">
        <v>671</v>
      </c>
      <c r="H11" s="13" t="s">
        <v>1001</v>
      </c>
    </row>
    <row r="12" customFormat="false" ht="30" hidden="false" customHeight="true" outlineLevel="0" collapsed="false">
      <c r="A12" s="12" t="s">
        <v>672</v>
      </c>
      <c r="B12" s="13" t="s">
        <v>1002</v>
      </c>
      <c r="C12" s="13" t="s">
        <v>969</v>
      </c>
      <c r="D12" s="13" t="s">
        <v>1003</v>
      </c>
      <c r="E12" s="13" t="s">
        <v>1004</v>
      </c>
      <c r="F12" s="17" t="n">
        <v>0.84</v>
      </c>
      <c r="G12" s="13" t="s">
        <v>678</v>
      </c>
      <c r="H12" s="13" t="s">
        <v>1005</v>
      </c>
    </row>
    <row r="13" customFormat="false" ht="30" hidden="false" customHeight="true" outlineLevel="0" collapsed="false">
      <c r="A13" s="12" t="s">
        <v>679</v>
      </c>
      <c r="B13" s="13" t="s">
        <v>1006</v>
      </c>
      <c r="C13" s="13" t="s">
        <v>969</v>
      </c>
      <c r="D13" s="13" t="s">
        <v>1007</v>
      </c>
      <c r="E13" s="13" t="s">
        <v>1008</v>
      </c>
      <c r="F13" s="17" t="n">
        <v>0.86</v>
      </c>
      <c r="G13" s="13" t="s">
        <v>684</v>
      </c>
      <c r="H13" s="13" t="s">
        <v>1009</v>
      </c>
    </row>
    <row r="14" customFormat="false" ht="30" hidden="false" customHeight="true" outlineLevel="0" collapsed="false">
      <c r="A14" s="12" t="s">
        <v>685</v>
      </c>
      <c r="B14" s="13" t="s">
        <v>1010</v>
      </c>
      <c r="C14" s="13" t="s">
        <v>969</v>
      </c>
      <c r="D14" s="13" t="s">
        <v>1011</v>
      </c>
      <c r="E14" s="13" t="s">
        <v>1012</v>
      </c>
      <c r="F14" s="17" t="n">
        <v>0.82</v>
      </c>
      <c r="G14" s="13" t="s">
        <v>690</v>
      </c>
      <c r="H14" s="13" t="s">
        <v>1013</v>
      </c>
    </row>
    <row r="15" customFormat="false" ht="30" hidden="false" customHeight="true" outlineLevel="0" collapsed="false">
      <c r="A15" s="12" t="s">
        <v>691</v>
      </c>
      <c r="B15" s="13" t="s">
        <v>1014</v>
      </c>
      <c r="C15" s="13" t="s">
        <v>969</v>
      </c>
      <c r="D15" s="13" t="s">
        <v>1015</v>
      </c>
      <c r="E15" s="13" t="s">
        <v>1016</v>
      </c>
      <c r="F15" s="17" t="n">
        <v>0.83</v>
      </c>
      <c r="G15" s="13" t="s">
        <v>696</v>
      </c>
      <c r="H15" s="13" t="s">
        <v>1017</v>
      </c>
    </row>
    <row r="16" customFormat="false" ht="30" hidden="false" customHeight="true" outlineLevel="0" collapsed="false">
      <c r="A16" s="12" t="s">
        <v>697</v>
      </c>
      <c r="B16" s="13" t="s">
        <v>1018</v>
      </c>
      <c r="C16" s="13" t="s">
        <v>969</v>
      </c>
      <c r="D16" s="13" t="s">
        <v>1019</v>
      </c>
      <c r="E16" s="13" t="s">
        <v>1020</v>
      </c>
      <c r="F16" s="17" t="n">
        <v>0.85</v>
      </c>
      <c r="G16" s="13" t="s">
        <v>702</v>
      </c>
      <c r="H16" s="13" t="s">
        <v>1021</v>
      </c>
    </row>
    <row r="17" customFormat="false" ht="30" hidden="false" customHeight="true" outlineLevel="0" collapsed="false">
      <c r="A17" s="12" t="s">
        <v>703</v>
      </c>
      <c r="B17" s="13" t="s">
        <v>1022</v>
      </c>
      <c r="C17" s="13" t="s">
        <v>969</v>
      </c>
      <c r="D17" s="13" t="s">
        <v>1023</v>
      </c>
      <c r="E17" s="13" t="s">
        <v>1024</v>
      </c>
      <c r="F17" s="17" t="n">
        <v>0.88</v>
      </c>
      <c r="G17" s="13" t="s">
        <v>708</v>
      </c>
      <c r="H17" s="13" t="s">
        <v>1025</v>
      </c>
    </row>
    <row r="18" customFormat="false" ht="30" hidden="false" customHeight="true" outlineLevel="0" collapsed="false">
      <c r="A18" s="12" t="s">
        <v>709</v>
      </c>
      <c r="B18" s="13" t="s">
        <v>1026</v>
      </c>
      <c r="C18" s="13" t="s">
        <v>969</v>
      </c>
      <c r="D18" s="13" t="s">
        <v>1027</v>
      </c>
      <c r="E18" s="13" t="s">
        <v>1028</v>
      </c>
      <c r="F18" s="17" t="n">
        <v>0.9</v>
      </c>
      <c r="G18" s="13" t="s">
        <v>714</v>
      </c>
      <c r="H18" s="13" t="s">
        <v>1029</v>
      </c>
    </row>
    <row r="19" customFormat="false" ht="30" hidden="false" customHeight="true" outlineLevel="0" collapsed="false">
      <c r="A19" s="12" t="s">
        <v>715</v>
      </c>
      <c r="B19" s="13" t="s">
        <v>1030</v>
      </c>
      <c r="C19" s="13" t="s">
        <v>969</v>
      </c>
      <c r="D19" s="13" t="s">
        <v>1031</v>
      </c>
      <c r="E19" s="13" t="s">
        <v>1032</v>
      </c>
      <c r="F19" s="17" t="n">
        <v>0.87</v>
      </c>
      <c r="G19" s="13" t="s">
        <v>720</v>
      </c>
      <c r="H19" s="13" t="s">
        <v>1033</v>
      </c>
    </row>
    <row r="20" customFormat="false" ht="30" hidden="false" customHeight="true" outlineLevel="0" collapsed="false">
      <c r="A20" s="12" t="s">
        <v>721</v>
      </c>
      <c r="B20" s="13" t="s">
        <v>1034</v>
      </c>
      <c r="C20" s="13" t="s">
        <v>969</v>
      </c>
      <c r="D20" s="13" t="s">
        <v>1035</v>
      </c>
      <c r="E20" s="13" t="s">
        <v>1036</v>
      </c>
      <c r="F20" s="17" t="n">
        <v>0.85</v>
      </c>
      <c r="G20" s="13" t="s">
        <v>726</v>
      </c>
      <c r="H20" s="13" t="s">
        <v>1037</v>
      </c>
    </row>
    <row r="21" customFormat="false" ht="30" hidden="false" customHeight="true" outlineLevel="0" collapsed="false">
      <c r="A21" s="12" t="s">
        <v>727</v>
      </c>
      <c r="B21" s="13" t="s">
        <v>1038</v>
      </c>
      <c r="C21" s="13" t="s">
        <v>969</v>
      </c>
      <c r="D21" s="13" t="s">
        <v>1039</v>
      </c>
      <c r="E21" s="13" t="s">
        <v>1040</v>
      </c>
      <c r="F21" s="17" t="n">
        <v>0.86</v>
      </c>
      <c r="G21" s="13" t="s">
        <v>732</v>
      </c>
      <c r="H21" s="13" t="s">
        <v>1041</v>
      </c>
    </row>
    <row r="22" customFormat="false" ht="30" hidden="false" customHeight="true" outlineLevel="0" collapsed="false">
      <c r="A22" s="12" t="s">
        <v>733</v>
      </c>
      <c r="B22" s="13" t="s">
        <v>1042</v>
      </c>
      <c r="C22" s="13" t="s">
        <v>969</v>
      </c>
      <c r="D22" s="13" t="s">
        <v>1043</v>
      </c>
      <c r="E22" s="13" t="s">
        <v>1044</v>
      </c>
      <c r="F22" s="17" t="n">
        <v>0.92</v>
      </c>
      <c r="G22" s="13" t="s">
        <v>738</v>
      </c>
      <c r="H22" s="13" t="s">
        <v>1045</v>
      </c>
    </row>
    <row r="23" customFormat="false" ht="30" hidden="false" customHeight="true" outlineLevel="0" collapsed="false">
      <c r="A23" s="12" t="s">
        <v>739</v>
      </c>
      <c r="B23" s="13" t="s">
        <v>1046</v>
      </c>
      <c r="C23" s="13" t="s">
        <v>969</v>
      </c>
      <c r="D23" s="13" t="s">
        <v>1047</v>
      </c>
      <c r="E23" s="13" t="s">
        <v>1048</v>
      </c>
      <c r="F23" s="17" t="n">
        <v>0.89</v>
      </c>
      <c r="G23" s="13" t="s">
        <v>744</v>
      </c>
      <c r="H23" s="13" t="s">
        <v>1049</v>
      </c>
    </row>
    <row r="24" customFormat="false" ht="30" hidden="false" customHeight="true" outlineLevel="0" collapsed="false">
      <c r="A24" s="12" t="s">
        <v>745</v>
      </c>
      <c r="B24" s="13" t="s">
        <v>1050</v>
      </c>
      <c r="C24" s="13" t="s">
        <v>969</v>
      </c>
      <c r="D24" s="13" t="s">
        <v>1051</v>
      </c>
      <c r="E24" s="13" t="s">
        <v>1052</v>
      </c>
      <c r="F24" s="17" t="n">
        <v>0.84</v>
      </c>
      <c r="G24" s="13" t="s">
        <v>750</v>
      </c>
      <c r="H24" s="13" t="s">
        <v>1053</v>
      </c>
    </row>
    <row r="25" customFormat="false" ht="30" hidden="false" customHeight="true" outlineLevel="0" collapsed="false">
      <c r="A25" s="12" t="s">
        <v>751</v>
      </c>
      <c r="B25" s="13" t="s">
        <v>1054</v>
      </c>
      <c r="C25" s="13" t="s">
        <v>969</v>
      </c>
      <c r="D25" s="13" t="s">
        <v>1055</v>
      </c>
      <c r="E25" s="13" t="s">
        <v>1056</v>
      </c>
      <c r="F25" s="17" t="n">
        <v>0.93</v>
      </c>
      <c r="G25" s="13" t="s">
        <v>756</v>
      </c>
      <c r="H25" s="13" t="s">
        <v>1057</v>
      </c>
    </row>
    <row r="26" customFormat="false" ht="30" hidden="false" customHeight="true" outlineLevel="0" collapsed="false">
      <c r="A26" s="12" t="s">
        <v>757</v>
      </c>
      <c r="B26" s="13" t="s">
        <v>1058</v>
      </c>
      <c r="C26" s="13" t="s">
        <v>969</v>
      </c>
      <c r="D26" s="13" t="s">
        <v>1059</v>
      </c>
      <c r="E26" s="13" t="s">
        <v>1060</v>
      </c>
      <c r="F26" s="17" t="n">
        <v>0.81</v>
      </c>
      <c r="G26" s="13" t="s">
        <v>762</v>
      </c>
      <c r="H26" s="13" t="s">
        <v>1061</v>
      </c>
    </row>
    <row r="27" customFormat="false" ht="30" hidden="false" customHeight="true" outlineLevel="0" collapsed="false">
      <c r="A27" s="12" t="s">
        <v>763</v>
      </c>
      <c r="B27" s="13" t="s">
        <v>1062</v>
      </c>
      <c r="C27" s="13" t="s">
        <v>969</v>
      </c>
      <c r="D27" s="13" t="s">
        <v>1063</v>
      </c>
      <c r="E27" s="13" t="s">
        <v>1064</v>
      </c>
      <c r="F27" s="17" t="n">
        <v>0.79</v>
      </c>
      <c r="G27" s="13" t="s">
        <v>768</v>
      </c>
      <c r="H27" s="13" t="s">
        <v>1065</v>
      </c>
    </row>
    <row r="28" customFormat="false" ht="30" hidden="false" customHeight="true" outlineLevel="0" collapsed="false">
      <c r="A28" s="12" t="s">
        <v>769</v>
      </c>
      <c r="B28" s="13" t="s">
        <v>1066</v>
      </c>
      <c r="C28" s="13" t="s">
        <v>969</v>
      </c>
      <c r="D28" s="13" t="s">
        <v>1067</v>
      </c>
      <c r="E28" s="13" t="s">
        <v>1068</v>
      </c>
      <c r="F28" s="17" t="n">
        <v>0.88</v>
      </c>
      <c r="G28" s="13" t="s">
        <v>774</v>
      </c>
      <c r="H28" s="13" t="s">
        <v>1069</v>
      </c>
    </row>
    <row r="29" customFormat="false" ht="30" hidden="false" customHeight="true" outlineLevel="0" collapsed="false">
      <c r="A29" s="12" t="s">
        <v>775</v>
      </c>
      <c r="B29" s="13" t="s">
        <v>1070</v>
      </c>
      <c r="C29" s="13" t="s">
        <v>969</v>
      </c>
      <c r="D29" s="13" t="s">
        <v>1071</v>
      </c>
      <c r="E29" s="13" t="s">
        <v>1072</v>
      </c>
      <c r="F29" s="17" t="n">
        <v>0.8</v>
      </c>
      <c r="G29" s="13" t="s">
        <v>780</v>
      </c>
      <c r="H29" s="13" t="s">
        <v>1073</v>
      </c>
    </row>
    <row r="30" customFormat="false" ht="30" hidden="false" customHeight="true" outlineLevel="0" collapsed="false">
      <c r="A30" s="12" t="s">
        <v>781</v>
      </c>
      <c r="B30" s="13" t="s">
        <v>1074</v>
      </c>
      <c r="C30" s="13" t="s">
        <v>969</v>
      </c>
      <c r="D30" s="13" t="s">
        <v>1075</v>
      </c>
      <c r="E30" s="13" t="s">
        <v>1076</v>
      </c>
      <c r="F30" s="17" t="n">
        <v>0.78</v>
      </c>
      <c r="G30" s="13" t="s">
        <v>786</v>
      </c>
      <c r="H30" s="13" t="s">
        <v>1077</v>
      </c>
    </row>
    <row r="31" customFormat="false" ht="30" hidden="false" customHeight="true" outlineLevel="0" collapsed="false">
      <c r="A31" s="12" t="s">
        <v>787</v>
      </c>
      <c r="B31" s="13" t="s">
        <v>1078</v>
      </c>
      <c r="C31" s="13" t="s">
        <v>969</v>
      </c>
      <c r="D31" s="13" t="s">
        <v>1079</v>
      </c>
      <c r="E31" s="13" t="s">
        <v>1080</v>
      </c>
      <c r="F31" s="17" t="n">
        <v>0.83</v>
      </c>
      <c r="G31" s="13" t="s">
        <v>792</v>
      </c>
      <c r="H31" s="13" t="s">
        <v>1081</v>
      </c>
    </row>
    <row r="32" customFormat="false" ht="30" hidden="false" customHeight="true" outlineLevel="0" collapsed="false">
      <c r="A32" s="12" t="s">
        <v>793</v>
      </c>
      <c r="B32" s="13" t="s">
        <v>1082</v>
      </c>
      <c r="C32" s="13" t="s">
        <v>1083</v>
      </c>
      <c r="D32" s="13" t="s">
        <v>1084</v>
      </c>
      <c r="E32" s="13" t="s">
        <v>1085</v>
      </c>
      <c r="F32" s="17" t="n">
        <v>0.87</v>
      </c>
      <c r="G32" s="13" t="s">
        <v>798</v>
      </c>
      <c r="H32" s="13" t="s">
        <v>1086</v>
      </c>
    </row>
    <row r="33" customFormat="false" ht="30" hidden="false" customHeight="true" outlineLevel="0" collapsed="false">
      <c r="A33" s="12" t="s">
        <v>799</v>
      </c>
      <c r="B33" s="13" t="s">
        <v>1087</v>
      </c>
      <c r="C33" s="13" t="s">
        <v>1083</v>
      </c>
      <c r="D33" s="13" t="s">
        <v>1088</v>
      </c>
      <c r="E33" s="13" t="s">
        <v>1089</v>
      </c>
      <c r="F33" s="17" t="n">
        <v>0.85</v>
      </c>
      <c r="G33" s="13" t="s">
        <v>804</v>
      </c>
      <c r="H33" s="13" t="s">
        <v>1090</v>
      </c>
    </row>
    <row r="34" customFormat="false" ht="30" hidden="false" customHeight="true" outlineLevel="0" collapsed="false">
      <c r="A34" s="12" t="s">
        <v>805</v>
      </c>
      <c r="B34" s="13" t="s">
        <v>1091</v>
      </c>
      <c r="C34" s="13" t="s">
        <v>1083</v>
      </c>
      <c r="D34" s="13" t="s">
        <v>1092</v>
      </c>
      <c r="E34" s="13" t="s">
        <v>1093</v>
      </c>
      <c r="F34" s="17" t="n">
        <v>0.86</v>
      </c>
      <c r="G34" s="13" t="s">
        <v>810</v>
      </c>
      <c r="H34" s="13" t="s">
        <v>1094</v>
      </c>
    </row>
    <row r="35" customFormat="false" ht="30" hidden="false" customHeight="true" outlineLevel="0" collapsed="false">
      <c r="A35" s="12" t="s">
        <v>811</v>
      </c>
      <c r="B35" s="13" t="s">
        <v>1095</v>
      </c>
      <c r="C35" s="13" t="s">
        <v>1083</v>
      </c>
      <c r="D35" s="13" t="s">
        <v>1096</v>
      </c>
      <c r="E35" s="13" t="s">
        <v>1097</v>
      </c>
      <c r="F35" s="17" t="n">
        <v>0.84</v>
      </c>
      <c r="G35" s="13" t="s">
        <v>816</v>
      </c>
      <c r="H35" s="13" t="s">
        <v>1098</v>
      </c>
    </row>
    <row r="36" customFormat="false" ht="30" hidden="false" customHeight="true" outlineLevel="0" collapsed="false">
      <c r="A36" s="12" t="s">
        <v>817</v>
      </c>
      <c r="B36" s="13" t="s">
        <v>1099</v>
      </c>
      <c r="C36" s="13" t="s">
        <v>1083</v>
      </c>
      <c r="D36" s="13" t="s">
        <v>1100</v>
      </c>
      <c r="E36" s="13" t="s">
        <v>1101</v>
      </c>
      <c r="F36" s="17" t="n">
        <v>0.82</v>
      </c>
      <c r="G36" s="13" t="s">
        <v>822</v>
      </c>
      <c r="H36" s="13" t="s">
        <v>1102</v>
      </c>
    </row>
    <row r="37" customFormat="false" ht="30" hidden="false" customHeight="true" outlineLevel="0" collapsed="false">
      <c r="A37" s="12" t="s">
        <v>823</v>
      </c>
      <c r="B37" s="13" t="s">
        <v>1103</v>
      </c>
      <c r="C37" s="13" t="s">
        <v>1083</v>
      </c>
      <c r="D37" s="13" t="s">
        <v>1104</v>
      </c>
      <c r="E37" s="13" t="s">
        <v>1105</v>
      </c>
      <c r="F37" s="17" t="n">
        <v>0.83</v>
      </c>
      <c r="G37" s="13" t="s">
        <v>828</v>
      </c>
      <c r="H37" s="13" t="s">
        <v>1106</v>
      </c>
    </row>
    <row r="38" customFormat="false" ht="30" hidden="false" customHeight="true" outlineLevel="0" collapsed="false">
      <c r="A38" s="12" t="s">
        <v>829</v>
      </c>
      <c r="B38" s="13" t="s">
        <v>1107</v>
      </c>
      <c r="C38" s="13" t="s">
        <v>1083</v>
      </c>
      <c r="D38" s="13" t="s">
        <v>1108</v>
      </c>
      <c r="E38" s="13" t="s">
        <v>1109</v>
      </c>
      <c r="F38" s="17" t="n">
        <v>0.8</v>
      </c>
      <c r="G38" s="13" t="s">
        <v>834</v>
      </c>
      <c r="H38" s="13" t="s">
        <v>1110</v>
      </c>
    </row>
    <row r="39" customFormat="false" ht="30" hidden="false" customHeight="true" outlineLevel="0" collapsed="false">
      <c r="A39" s="12" t="s">
        <v>835</v>
      </c>
      <c r="B39" s="13" t="s">
        <v>1111</v>
      </c>
      <c r="C39" s="13" t="s">
        <v>969</v>
      </c>
      <c r="D39" s="13" t="s">
        <v>1112</v>
      </c>
      <c r="E39" s="13" t="s">
        <v>1113</v>
      </c>
      <c r="F39" s="17" t="n">
        <v>0.89</v>
      </c>
      <c r="G39" s="13" t="s">
        <v>840</v>
      </c>
      <c r="H39" s="13" t="s">
        <v>1114</v>
      </c>
    </row>
    <row r="40" customFormat="false" ht="30" hidden="false" customHeight="true" outlineLevel="0" collapsed="false">
      <c r="A40" s="12" t="s">
        <v>841</v>
      </c>
      <c r="B40" s="13" t="s">
        <v>1115</v>
      </c>
      <c r="C40" s="13" t="s">
        <v>969</v>
      </c>
      <c r="D40" s="13" t="s">
        <v>1116</v>
      </c>
      <c r="E40" s="13" t="s">
        <v>1117</v>
      </c>
      <c r="F40" s="17" t="n">
        <v>0.86</v>
      </c>
      <c r="G40" s="13" t="s">
        <v>846</v>
      </c>
      <c r="H40" s="13" t="s">
        <v>1118</v>
      </c>
    </row>
    <row r="41" customFormat="false" ht="30" hidden="false" customHeight="true" outlineLevel="0" collapsed="false">
      <c r="A41" s="12" t="s">
        <v>847</v>
      </c>
      <c r="B41" s="13" t="s">
        <v>1119</v>
      </c>
      <c r="C41" s="13" t="s">
        <v>969</v>
      </c>
      <c r="D41" s="13" t="s">
        <v>1120</v>
      </c>
      <c r="E41" s="13" t="s">
        <v>1121</v>
      </c>
      <c r="F41" s="17" t="n">
        <v>0.9</v>
      </c>
      <c r="G41" s="13" t="s">
        <v>852</v>
      </c>
      <c r="H41" s="13" t="s">
        <v>1122</v>
      </c>
    </row>
    <row r="42" customFormat="false" ht="30" hidden="false" customHeight="true" outlineLevel="0" collapsed="false">
      <c r="A42" s="12" t="s">
        <v>853</v>
      </c>
      <c r="B42" s="13" t="s">
        <v>1123</v>
      </c>
      <c r="C42" s="13" t="s">
        <v>969</v>
      </c>
      <c r="D42" s="13" t="s">
        <v>1124</v>
      </c>
      <c r="E42" s="13" t="s">
        <v>1125</v>
      </c>
      <c r="F42" s="17" t="n">
        <v>0.84</v>
      </c>
      <c r="G42" s="13" t="s">
        <v>858</v>
      </c>
      <c r="H42" s="13" t="s">
        <v>1126</v>
      </c>
    </row>
    <row r="43" customFormat="false" ht="30" hidden="false" customHeight="true" outlineLevel="0" collapsed="false">
      <c r="A43" s="12" t="s">
        <v>859</v>
      </c>
      <c r="B43" s="13" t="s">
        <v>1127</v>
      </c>
      <c r="C43" s="13" t="s">
        <v>969</v>
      </c>
      <c r="D43" s="13" t="s">
        <v>1128</v>
      </c>
      <c r="E43" s="13" t="s">
        <v>1129</v>
      </c>
      <c r="F43" s="17" t="n">
        <v>0.87</v>
      </c>
      <c r="G43" s="13" t="s">
        <v>864</v>
      </c>
      <c r="H43" s="13" t="s">
        <v>1130</v>
      </c>
    </row>
    <row r="44" customFormat="false" ht="30" hidden="false" customHeight="true" outlineLevel="0" collapsed="false">
      <c r="A44" s="12" t="s">
        <v>865</v>
      </c>
      <c r="B44" s="13" t="s">
        <v>1131</v>
      </c>
      <c r="C44" s="13" t="s">
        <v>969</v>
      </c>
      <c r="D44" s="13" t="s">
        <v>1132</v>
      </c>
      <c r="E44" s="13" t="s">
        <v>1133</v>
      </c>
      <c r="F44" s="17" t="n">
        <v>0.85</v>
      </c>
      <c r="G44" s="13" t="s">
        <v>870</v>
      </c>
      <c r="H44" s="13" t="s">
        <v>1134</v>
      </c>
    </row>
    <row r="45" customFormat="false" ht="30" hidden="false" customHeight="true" outlineLevel="0" collapsed="false">
      <c r="A45" s="12" t="s">
        <v>871</v>
      </c>
      <c r="B45" s="13" t="s">
        <v>1135</v>
      </c>
      <c r="C45" s="13" t="s">
        <v>969</v>
      </c>
      <c r="D45" s="13" t="s">
        <v>1136</v>
      </c>
      <c r="E45" s="13" t="s">
        <v>1137</v>
      </c>
      <c r="F45" s="17" t="n">
        <v>0.83</v>
      </c>
      <c r="G45" s="13" t="s">
        <v>876</v>
      </c>
      <c r="H45" s="13" t="s">
        <v>1138</v>
      </c>
    </row>
    <row r="46" customFormat="false" ht="30" hidden="false" customHeight="true" outlineLevel="0" collapsed="false">
      <c r="A46" s="12" t="s">
        <v>877</v>
      </c>
      <c r="B46" s="13" t="s">
        <v>1139</v>
      </c>
      <c r="C46" s="13" t="s">
        <v>969</v>
      </c>
      <c r="D46" s="13" t="s">
        <v>1140</v>
      </c>
      <c r="E46" s="13" t="s">
        <v>1141</v>
      </c>
      <c r="F46" s="17" t="n">
        <v>0.9</v>
      </c>
      <c r="G46" s="13" t="s">
        <v>882</v>
      </c>
      <c r="H46" s="13" t="s">
        <v>1142</v>
      </c>
    </row>
    <row r="47" customFormat="false" ht="30" hidden="false" customHeight="true" outlineLevel="0" collapsed="false">
      <c r="A47" s="12" t="s">
        <v>883</v>
      </c>
      <c r="B47" s="13" t="s">
        <v>1143</v>
      </c>
      <c r="C47" s="13" t="s">
        <v>969</v>
      </c>
      <c r="D47" s="13" t="s">
        <v>1144</v>
      </c>
      <c r="E47" s="13" t="s">
        <v>1145</v>
      </c>
      <c r="F47" s="17" t="n">
        <v>0.85</v>
      </c>
      <c r="G47" s="13" t="s">
        <v>888</v>
      </c>
      <c r="H47" s="13" t="s">
        <v>1146</v>
      </c>
    </row>
    <row r="48" customFormat="false" ht="30" hidden="false" customHeight="true" outlineLevel="0" collapsed="false">
      <c r="A48" s="12" t="s">
        <v>889</v>
      </c>
      <c r="B48" s="13" t="s">
        <v>1147</v>
      </c>
      <c r="C48" s="13" t="s">
        <v>969</v>
      </c>
      <c r="D48" s="13" t="s">
        <v>1148</v>
      </c>
      <c r="E48" s="13" t="s">
        <v>1149</v>
      </c>
      <c r="F48" s="17" t="n">
        <v>0.87</v>
      </c>
      <c r="G48" s="13" t="s">
        <v>894</v>
      </c>
      <c r="H48" s="13" t="s">
        <v>1150</v>
      </c>
    </row>
    <row r="49" customFormat="false" ht="30" hidden="false" customHeight="true" outlineLevel="0" collapsed="false">
      <c r="A49" s="12" t="s">
        <v>895</v>
      </c>
      <c r="B49" s="13" t="s">
        <v>1151</v>
      </c>
      <c r="C49" s="13" t="s">
        <v>969</v>
      </c>
      <c r="D49" s="13" t="s">
        <v>1152</v>
      </c>
      <c r="E49" s="13" t="s">
        <v>1153</v>
      </c>
      <c r="F49" s="17" t="n">
        <v>0.83</v>
      </c>
      <c r="G49" s="13" t="s">
        <v>900</v>
      </c>
      <c r="H49" s="13" t="s">
        <v>1154</v>
      </c>
    </row>
    <row r="50" customFormat="false" ht="30" hidden="false" customHeight="true" outlineLevel="0" collapsed="false">
      <c r="A50" s="12" t="s">
        <v>901</v>
      </c>
      <c r="B50" s="13" t="s">
        <v>1155</v>
      </c>
      <c r="C50" s="13" t="s">
        <v>969</v>
      </c>
      <c r="D50" s="13" t="s">
        <v>1156</v>
      </c>
      <c r="E50" s="13" t="s">
        <v>1157</v>
      </c>
      <c r="F50" s="17" t="n">
        <v>0.8</v>
      </c>
      <c r="G50" s="13" t="s">
        <v>906</v>
      </c>
      <c r="H50" s="13" t="s">
        <v>1158</v>
      </c>
    </row>
    <row r="51" customFormat="false" ht="30" hidden="false" customHeight="true" outlineLevel="0" collapsed="false">
      <c r="A51" s="12" t="s">
        <v>907</v>
      </c>
      <c r="B51" s="13" t="s">
        <v>1159</v>
      </c>
      <c r="C51" s="13" t="s">
        <v>969</v>
      </c>
      <c r="D51" s="13" t="s">
        <v>1160</v>
      </c>
      <c r="E51" s="13" t="s">
        <v>1161</v>
      </c>
      <c r="F51" s="17" t="n">
        <v>0.81</v>
      </c>
      <c r="G51" s="13" t="s">
        <v>912</v>
      </c>
      <c r="H51" s="13" t="s">
        <v>1162</v>
      </c>
    </row>
    <row r="52" customFormat="false" ht="30" hidden="false" customHeight="true" outlineLevel="0" collapsed="false">
      <c r="A52" s="12" t="s">
        <v>913</v>
      </c>
      <c r="B52" s="13" t="s">
        <v>1163</v>
      </c>
      <c r="C52" s="13" t="s">
        <v>969</v>
      </c>
      <c r="D52" s="13" t="s">
        <v>1164</v>
      </c>
      <c r="E52" s="13" t="s">
        <v>1165</v>
      </c>
      <c r="F52" s="17" t="n">
        <v>0.86</v>
      </c>
      <c r="G52" s="13" t="s">
        <v>918</v>
      </c>
      <c r="H52" s="13" t="s">
        <v>1166</v>
      </c>
    </row>
    <row r="53" customFormat="false" ht="30" hidden="false" customHeight="true" outlineLevel="0" collapsed="false">
      <c r="A53" s="12" t="s">
        <v>919</v>
      </c>
      <c r="B53" s="13" t="s">
        <v>1167</v>
      </c>
      <c r="C53" s="13" t="s">
        <v>969</v>
      </c>
      <c r="D53" s="13" t="s">
        <v>1168</v>
      </c>
      <c r="E53" s="13" t="s">
        <v>1169</v>
      </c>
      <c r="F53" s="17" t="n">
        <v>0.88</v>
      </c>
      <c r="G53" s="13" t="s">
        <v>924</v>
      </c>
      <c r="H53" s="13" t="s">
        <v>1170</v>
      </c>
    </row>
    <row r="54" customFormat="false" ht="30" hidden="false" customHeight="true" outlineLevel="0" collapsed="false">
      <c r="A54" s="12" t="s">
        <v>925</v>
      </c>
      <c r="B54" s="13" t="s">
        <v>1171</v>
      </c>
      <c r="C54" s="13" t="s">
        <v>969</v>
      </c>
      <c r="D54" s="13" t="s">
        <v>1172</v>
      </c>
      <c r="E54" s="13" t="s">
        <v>1173</v>
      </c>
      <c r="F54" s="17" t="n">
        <v>0.84</v>
      </c>
      <c r="G54" s="13" t="s">
        <v>930</v>
      </c>
      <c r="H54" s="13" t="s">
        <v>1174</v>
      </c>
    </row>
    <row r="55" customFormat="false" ht="30" hidden="false" customHeight="true" outlineLevel="0" collapsed="false">
      <c r="A55" s="12" t="s">
        <v>931</v>
      </c>
      <c r="B55" s="13" t="s">
        <v>1175</v>
      </c>
      <c r="C55" s="13" t="s">
        <v>969</v>
      </c>
      <c r="D55" s="13" t="s">
        <v>1176</v>
      </c>
      <c r="E55" s="13" t="s">
        <v>1177</v>
      </c>
      <c r="F55" s="17" t="n">
        <v>0.82</v>
      </c>
      <c r="G55" s="13" t="s">
        <v>936</v>
      </c>
      <c r="H55" s="13" t="s">
        <v>1178</v>
      </c>
    </row>
    <row r="56" customFormat="false" ht="30" hidden="false" customHeight="true" outlineLevel="0" collapsed="false">
      <c r="A56" s="12" t="s">
        <v>937</v>
      </c>
      <c r="B56" s="13" t="s">
        <v>1179</v>
      </c>
      <c r="C56" s="13" t="s">
        <v>969</v>
      </c>
      <c r="D56" s="13" t="s">
        <v>1180</v>
      </c>
      <c r="E56" s="13" t="s">
        <v>1181</v>
      </c>
      <c r="F56" s="17" t="n">
        <v>0.8</v>
      </c>
      <c r="G56" s="13" t="s">
        <v>942</v>
      </c>
      <c r="H56" s="13" t="s">
        <v>1182</v>
      </c>
    </row>
    <row r="57" customFormat="false" ht="30" hidden="false" customHeight="true" outlineLevel="0" collapsed="false">
      <c r="A57" s="12" t="s">
        <v>943</v>
      </c>
      <c r="B57" s="13" t="s">
        <v>1183</v>
      </c>
      <c r="C57" s="13" t="s">
        <v>969</v>
      </c>
      <c r="D57" s="13" t="s">
        <v>1184</v>
      </c>
      <c r="E57" s="13" t="s">
        <v>1185</v>
      </c>
      <c r="F57" s="17" t="n">
        <v>0.86</v>
      </c>
      <c r="G57" s="13" t="s">
        <v>948</v>
      </c>
      <c r="H57" s="13" t="s">
        <v>1186</v>
      </c>
    </row>
    <row r="58" customFormat="false" ht="30" hidden="false" customHeight="true" outlineLevel="0" collapsed="false">
      <c r="A58" s="12" t="s">
        <v>949</v>
      </c>
      <c r="B58" s="13" t="s">
        <v>1187</v>
      </c>
      <c r="C58" s="13" t="s">
        <v>969</v>
      </c>
      <c r="D58" s="13" t="s">
        <v>1188</v>
      </c>
      <c r="E58" s="13" t="s">
        <v>1189</v>
      </c>
      <c r="F58" s="17" t="n">
        <v>0.83</v>
      </c>
      <c r="G58" s="13" t="s">
        <v>954</v>
      </c>
      <c r="H58" s="13" t="s">
        <v>1190</v>
      </c>
    </row>
    <row r="59" customFormat="false" ht="30" hidden="false" customHeight="true" outlineLevel="0" collapsed="false">
      <c r="A59" s="12" t="s">
        <v>955</v>
      </c>
      <c r="B59" s="13" t="s">
        <v>1191</v>
      </c>
      <c r="C59" s="13" t="s">
        <v>969</v>
      </c>
      <c r="D59" s="13" t="s">
        <v>1192</v>
      </c>
      <c r="E59" s="13" t="s">
        <v>1193</v>
      </c>
      <c r="F59" s="17" t="n">
        <v>0.81</v>
      </c>
      <c r="G59" s="13" t="s">
        <v>960</v>
      </c>
      <c r="H59" s="13" t="s">
        <v>1194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20"/>
    <col collapsed="false" customWidth="true" hidden="false" outlineLevel="0" max="4" min="4" style="0" width="10"/>
    <col collapsed="false" customWidth="true" hidden="false" outlineLevel="0" max="5" min="5" style="0" width="58"/>
    <col collapsed="false" customWidth="true" hidden="false" outlineLevel="0" max="6" min="6" style="0" width="42"/>
  </cols>
  <sheetData>
    <row r="1" customFormat="false" ht="21.75" hidden="false" customHeight="true" outlineLevel="0" collapsed="false">
      <c r="A1" s="10" t="s">
        <v>1195</v>
      </c>
      <c r="B1" s="10"/>
      <c r="C1" s="10"/>
      <c r="D1" s="10"/>
      <c r="E1" s="10"/>
      <c r="F1" s="10"/>
    </row>
    <row r="3" customFormat="false" ht="30" hidden="false" customHeight="true" outlineLevel="0" collapsed="false">
      <c r="A3" s="11" t="s">
        <v>1196</v>
      </c>
      <c r="B3" s="11" t="s">
        <v>1197</v>
      </c>
      <c r="C3" s="11" t="s">
        <v>1198</v>
      </c>
      <c r="D3" s="11" t="s">
        <v>1199</v>
      </c>
      <c r="E3" s="11" t="s">
        <v>614</v>
      </c>
      <c r="F3" s="11" t="s">
        <v>1200</v>
      </c>
    </row>
    <row r="4" customFormat="false" ht="30" hidden="false" customHeight="true" outlineLevel="0" collapsed="false">
      <c r="A4" s="18" t="s">
        <v>1201</v>
      </c>
      <c r="B4" s="12" t="s">
        <v>1202</v>
      </c>
      <c r="C4" s="12" t="s">
        <v>1203</v>
      </c>
      <c r="D4" s="12" t="s">
        <v>1204</v>
      </c>
      <c r="E4" s="13" t="s">
        <v>1205</v>
      </c>
      <c r="F4" s="13" t="s">
        <v>48</v>
      </c>
    </row>
    <row r="5" customFormat="false" ht="30" hidden="false" customHeight="true" outlineLevel="0" collapsed="false">
      <c r="A5" s="18" t="s">
        <v>1201</v>
      </c>
      <c r="B5" s="12" t="s">
        <v>1206</v>
      </c>
      <c r="C5" s="12" t="s">
        <v>1203</v>
      </c>
      <c r="D5" s="12" t="s">
        <v>1204</v>
      </c>
      <c r="E5" s="13" t="s">
        <v>1207</v>
      </c>
      <c r="F5" s="13" t="s">
        <v>1208</v>
      </c>
    </row>
    <row r="6" customFormat="false" ht="30" hidden="false" customHeight="true" outlineLevel="0" collapsed="false">
      <c r="A6" s="18" t="s">
        <v>1201</v>
      </c>
      <c r="B6" s="12" t="s">
        <v>1209</v>
      </c>
      <c r="C6" s="12" t="s">
        <v>1210</v>
      </c>
      <c r="D6" s="12" t="s">
        <v>1204</v>
      </c>
      <c r="E6" s="13" t="s">
        <v>1211</v>
      </c>
      <c r="F6" s="13" t="s">
        <v>50</v>
      </c>
    </row>
    <row r="7" customFormat="false" ht="30" hidden="false" customHeight="true" outlineLevel="0" collapsed="false">
      <c r="A7" s="18" t="s">
        <v>1201</v>
      </c>
      <c r="B7" s="12" t="s">
        <v>1212</v>
      </c>
      <c r="C7" s="12" t="s">
        <v>1213</v>
      </c>
      <c r="D7" s="12" t="s">
        <v>1204</v>
      </c>
      <c r="E7" s="13" t="s">
        <v>1214</v>
      </c>
      <c r="F7" s="13" t="s">
        <v>15</v>
      </c>
    </row>
    <row r="8" customFormat="false" ht="30" hidden="false" customHeight="true" outlineLevel="0" collapsed="false">
      <c r="A8" s="18" t="s">
        <v>1201</v>
      </c>
      <c r="B8" s="12" t="s">
        <v>1215</v>
      </c>
      <c r="C8" s="12" t="s">
        <v>1203</v>
      </c>
      <c r="D8" s="12" t="s">
        <v>1204</v>
      </c>
      <c r="E8" s="13" t="s">
        <v>1216</v>
      </c>
      <c r="F8" s="13" t="s">
        <v>1217</v>
      </c>
    </row>
    <row r="9" customFormat="false" ht="30" hidden="false" customHeight="true" outlineLevel="0" collapsed="false">
      <c r="A9" s="18" t="s">
        <v>1201</v>
      </c>
      <c r="B9" s="12" t="s">
        <v>1218</v>
      </c>
      <c r="C9" s="12" t="s">
        <v>1219</v>
      </c>
      <c r="D9" s="12" t="s">
        <v>1220</v>
      </c>
      <c r="E9" s="13" t="s">
        <v>1221</v>
      </c>
      <c r="F9" s="13" t="s">
        <v>1222</v>
      </c>
    </row>
    <row r="10" customFormat="false" ht="30" hidden="false" customHeight="true" outlineLevel="0" collapsed="false">
      <c r="A10" s="18" t="s">
        <v>1223</v>
      </c>
      <c r="B10" s="12" t="s">
        <v>1224</v>
      </c>
      <c r="C10" s="12" t="s">
        <v>1225</v>
      </c>
      <c r="D10" s="12" t="s">
        <v>1204</v>
      </c>
      <c r="E10" s="13" t="s">
        <v>1226</v>
      </c>
      <c r="F10" s="13" t="s">
        <v>51</v>
      </c>
    </row>
    <row r="11" customFormat="false" ht="30" hidden="false" customHeight="true" outlineLevel="0" collapsed="false">
      <c r="A11" s="18" t="s">
        <v>1223</v>
      </c>
      <c r="B11" s="12" t="s">
        <v>1227</v>
      </c>
      <c r="C11" s="12" t="s">
        <v>1228</v>
      </c>
      <c r="D11" s="12" t="s">
        <v>1204</v>
      </c>
      <c r="E11" s="13" t="s">
        <v>1229</v>
      </c>
      <c r="F11" s="13" t="s">
        <v>52</v>
      </c>
    </row>
    <row r="12" customFormat="false" ht="30" hidden="false" customHeight="true" outlineLevel="0" collapsed="false">
      <c r="A12" s="18" t="s">
        <v>1223</v>
      </c>
      <c r="B12" s="12" t="s">
        <v>1230</v>
      </c>
      <c r="C12" s="12" t="s">
        <v>1231</v>
      </c>
      <c r="D12" s="12" t="s">
        <v>1220</v>
      </c>
      <c r="E12" s="13" t="s">
        <v>1232</v>
      </c>
      <c r="F12" s="13" t="s">
        <v>1233</v>
      </c>
    </row>
    <row r="13" customFormat="false" ht="30" hidden="false" customHeight="true" outlineLevel="0" collapsed="false">
      <c r="A13" s="18" t="s">
        <v>1223</v>
      </c>
      <c r="B13" s="12" t="s">
        <v>1234</v>
      </c>
      <c r="C13" s="12" t="s">
        <v>1235</v>
      </c>
      <c r="D13" s="12" t="s">
        <v>1220</v>
      </c>
      <c r="E13" s="13" t="s">
        <v>1236</v>
      </c>
      <c r="F13" s="13" t="s">
        <v>1237</v>
      </c>
    </row>
    <row r="14" customFormat="false" ht="30" hidden="false" customHeight="true" outlineLevel="0" collapsed="false">
      <c r="A14" s="18" t="s">
        <v>1223</v>
      </c>
      <c r="B14" s="12" t="s">
        <v>1238</v>
      </c>
      <c r="C14" s="12" t="s">
        <v>1239</v>
      </c>
      <c r="D14" s="12" t="s">
        <v>1204</v>
      </c>
      <c r="E14" s="13" t="s">
        <v>1240</v>
      </c>
      <c r="F14" s="13" t="s">
        <v>1241</v>
      </c>
    </row>
    <row r="15" customFormat="false" ht="30" hidden="false" customHeight="true" outlineLevel="0" collapsed="false">
      <c r="A15" s="18" t="s">
        <v>1223</v>
      </c>
      <c r="B15" s="12" t="s">
        <v>1242</v>
      </c>
      <c r="C15" s="12" t="s">
        <v>1228</v>
      </c>
      <c r="D15" s="12" t="s">
        <v>1220</v>
      </c>
      <c r="E15" s="13" t="s">
        <v>1243</v>
      </c>
      <c r="F15" s="13" t="s">
        <v>188</v>
      </c>
    </row>
    <row r="16" customFormat="false" ht="30" hidden="false" customHeight="true" outlineLevel="0" collapsed="false">
      <c r="A16" s="19" t="s">
        <v>1244</v>
      </c>
      <c r="B16" s="12" t="s">
        <v>1245</v>
      </c>
      <c r="C16" s="12" t="s">
        <v>1213</v>
      </c>
      <c r="D16" s="12" t="s">
        <v>1204</v>
      </c>
      <c r="E16" s="13" t="s">
        <v>1246</v>
      </c>
      <c r="F16" s="13" t="s">
        <v>1247</v>
      </c>
    </row>
    <row r="17" customFormat="false" ht="30" hidden="false" customHeight="true" outlineLevel="0" collapsed="false">
      <c r="A17" s="19" t="s">
        <v>1244</v>
      </c>
      <c r="B17" s="12" t="s">
        <v>1248</v>
      </c>
      <c r="C17" s="12" t="s">
        <v>1203</v>
      </c>
      <c r="D17" s="12" t="s">
        <v>1204</v>
      </c>
      <c r="E17" s="13" t="s">
        <v>1249</v>
      </c>
      <c r="F17" s="13" t="s">
        <v>1250</v>
      </c>
    </row>
    <row r="18" customFormat="false" ht="30" hidden="false" customHeight="true" outlineLevel="0" collapsed="false">
      <c r="A18" s="19" t="s">
        <v>1244</v>
      </c>
      <c r="B18" s="12" t="s">
        <v>1251</v>
      </c>
      <c r="C18" s="12" t="s">
        <v>1252</v>
      </c>
      <c r="D18" s="12" t="s">
        <v>1204</v>
      </c>
      <c r="E18" s="13" t="s">
        <v>1253</v>
      </c>
      <c r="F18" s="13" t="s">
        <v>1254</v>
      </c>
    </row>
    <row r="19" customFormat="false" ht="30" hidden="false" customHeight="true" outlineLevel="0" collapsed="false">
      <c r="A19" s="19" t="s">
        <v>1244</v>
      </c>
      <c r="B19" s="12" t="s">
        <v>1255</v>
      </c>
      <c r="C19" s="12" t="s">
        <v>1239</v>
      </c>
      <c r="D19" s="12" t="s">
        <v>1220</v>
      </c>
      <c r="E19" s="13" t="s">
        <v>1256</v>
      </c>
      <c r="F19" s="13" t="s">
        <v>1241</v>
      </c>
    </row>
    <row r="20" customFormat="false" ht="30" hidden="false" customHeight="true" outlineLevel="0" collapsed="false">
      <c r="A20" s="19" t="s">
        <v>1244</v>
      </c>
      <c r="B20" s="12" t="s">
        <v>1257</v>
      </c>
      <c r="C20" s="12" t="s">
        <v>1258</v>
      </c>
      <c r="D20" s="12" t="s">
        <v>1220</v>
      </c>
      <c r="E20" s="13" t="s">
        <v>1259</v>
      </c>
      <c r="F20" s="13" t="s">
        <v>1260</v>
      </c>
    </row>
    <row r="21" customFormat="false" ht="30" hidden="false" customHeight="true" outlineLevel="0" collapsed="false">
      <c r="A21" s="19" t="s">
        <v>1244</v>
      </c>
      <c r="B21" s="12" t="s">
        <v>1261</v>
      </c>
      <c r="C21" s="12" t="s">
        <v>1258</v>
      </c>
      <c r="D21" s="12" t="s">
        <v>1220</v>
      </c>
      <c r="E21" s="13" t="s">
        <v>1262</v>
      </c>
      <c r="F21" s="13" t="s">
        <v>1263</v>
      </c>
    </row>
    <row r="22" customFormat="false" ht="30" hidden="false" customHeight="true" outlineLevel="0" collapsed="false">
      <c r="A22" s="19" t="s">
        <v>1244</v>
      </c>
      <c r="B22" s="12" t="s">
        <v>1264</v>
      </c>
      <c r="C22" s="12" t="s">
        <v>1265</v>
      </c>
      <c r="D22" s="12" t="s">
        <v>1220</v>
      </c>
      <c r="E22" s="13" t="s">
        <v>1266</v>
      </c>
      <c r="F22" s="13" t="s">
        <v>1267</v>
      </c>
    </row>
    <row r="23" customFormat="false" ht="30" hidden="false" customHeight="true" outlineLevel="0" collapsed="false">
      <c r="A23" s="19" t="s">
        <v>1244</v>
      </c>
      <c r="B23" s="12" t="s">
        <v>1268</v>
      </c>
      <c r="C23" s="12" t="s">
        <v>1239</v>
      </c>
      <c r="D23" s="12" t="s">
        <v>1220</v>
      </c>
      <c r="E23" s="13" t="s">
        <v>1269</v>
      </c>
      <c r="F23" s="13" t="s">
        <v>1270</v>
      </c>
    </row>
    <row r="24" customFormat="false" ht="30" hidden="false" customHeight="true" outlineLevel="0" collapsed="false">
      <c r="A24" s="19" t="s">
        <v>1244</v>
      </c>
      <c r="B24" s="12" t="s">
        <v>1271</v>
      </c>
      <c r="C24" s="12" t="s">
        <v>1203</v>
      </c>
      <c r="D24" s="12" t="s">
        <v>1220</v>
      </c>
      <c r="E24" s="13" t="s">
        <v>1272</v>
      </c>
      <c r="F24" s="13" t="s">
        <v>1273</v>
      </c>
    </row>
    <row r="25" customFormat="false" ht="30" hidden="false" customHeight="true" outlineLevel="0" collapsed="false">
      <c r="A25" s="20" t="s">
        <v>1274</v>
      </c>
      <c r="B25" s="12" t="s">
        <v>1275</v>
      </c>
      <c r="C25" s="12" t="s">
        <v>1203</v>
      </c>
      <c r="D25" s="12" t="s">
        <v>1204</v>
      </c>
      <c r="E25" s="13" t="s">
        <v>1276</v>
      </c>
      <c r="F25" s="13" t="s">
        <v>1277</v>
      </c>
    </row>
    <row r="26" customFormat="false" ht="30" hidden="false" customHeight="true" outlineLevel="0" collapsed="false">
      <c r="A26" s="20" t="s">
        <v>1274</v>
      </c>
      <c r="B26" s="12" t="s">
        <v>1278</v>
      </c>
      <c r="C26" s="12" t="s">
        <v>1258</v>
      </c>
      <c r="D26" s="12" t="s">
        <v>1220</v>
      </c>
      <c r="E26" s="13" t="s">
        <v>1279</v>
      </c>
      <c r="F26" s="13" t="s">
        <v>1280</v>
      </c>
    </row>
    <row r="27" customFormat="false" ht="30" hidden="false" customHeight="true" outlineLevel="0" collapsed="false">
      <c r="A27" s="20" t="s">
        <v>1274</v>
      </c>
      <c r="B27" s="12" t="s">
        <v>1281</v>
      </c>
      <c r="C27" s="12" t="s">
        <v>1203</v>
      </c>
      <c r="D27" s="12" t="s">
        <v>1220</v>
      </c>
      <c r="E27" s="13" t="s">
        <v>1282</v>
      </c>
      <c r="F27" s="13" t="s">
        <v>1283</v>
      </c>
    </row>
    <row r="28" customFormat="false" ht="30" hidden="false" customHeight="true" outlineLevel="0" collapsed="false">
      <c r="A28" s="20" t="s">
        <v>1274</v>
      </c>
      <c r="B28" s="12" t="s">
        <v>1284</v>
      </c>
      <c r="C28" s="12" t="s">
        <v>1203</v>
      </c>
      <c r="D28" s="12" t="s">
        <v>1220</v>
      </c>
      <c r="E28" s="13" t="s">
        <v>1285</v>
      </c>
      <c r="F28" s="13" t="s">
        <v>1286</v>
      </c>
    </row>
    <row r="29" customFormat="false" ht="30" hidden="false" customHeight="true" outlineLevel="0" collapsed="false">
      <c r="A29" s="20" t="s">
        <v>1274</v>
      </c>
      <c r="B29" s="12" t="s">
        <v>1287</v>
      </c>
      <c r="C29" s="12" t="s">
        <v>1288</v>
      </c>
      <c r="D29" s="12" t="s">
        <v>1220</v>
      </c>
      <c r="E29" s="13" t="s">
        <v>1289</v>
      </c>
      <c r="F29" s="13" t="s">
        <v>1290</v>
      </c>
    </row>
    <row r="30" customFormat="false" ht="30" hidden="false" customHeight="true" outlineLevel="0" collapsed="false">
      <c r="A30" s="20" t="s">
        <v>1274</v>
      </c>
      <c r="B30" s="12" t="s">
        <v>1291</v>
      </c>
      <c r="C30" s="12" t="s">
        <v>1203</v>
      </c>
      <c r="D30" s="12" t="s">
        <v>1220</v>
      </c>
      <c r="E30" s="13" t="s">
        <v>1292</v>
      </c>
      <c r="F30" s="13" t="s">
        <v>1293</v>
      </c>
    </row>
    <row r="31" customFormat="false" ht="30" hidden="false" customHeight="true" outlineLevel="0" collapsed="false">
      <c r="A31" s="20" t="s">
        <v>1274</v>
      </c>
      <c r="B31" s="12" t="s">
        <v>1294</v>
      </c>
      <c r="C31" s="12" t="s">
        <v>1219</v>
      </c>
      <c r="D31" s="12" t="s">
        <v>1220</v>
      </c>
      <c r="E31" s="13" t="s">
        <v>1295</v>
      </c>
      <c r="F31" s="13" t="s">
        <v>1296</v>
      </c>
    </row>
    <row r="32" customFormat="false" ht="30" hidden="false" customHeight="true" outlineLevel="0" collapsed="false">
      <c r="A32" s="20" t="s">
        <v>1274</v>
      </c>
      <c r="B32" s="12" t="s">
        <v>1297</v>
      </c>
      <c r="C32" s="12" t="s">
        <v>1298</v>
      </c>
      <c r="D32" s="12" t="s">
        <v>1220</v>
      </c>
      <c r="E32" s="13" t="s">
        <v>1299</v>
      </c>
      <c r="F32" s="13" t="s">
        <v>1300</v>
      </c>
    </row>
    <row r="33" customFormat="false" ht="30" hidden="false" customHeight="true" outlineLevel="0" collapsed="false">
      <c r="A33" s="19" t="s">
        <v>1301</v>
      </c>
      <c r="B33" s="12" t="s">
        <v>1302</v>
      </c>
      <c r="C33" s="12" t="s">
        <v>1252</v>
      </c>
      <c r="D33" s="12" t="s">
        <v>1220</v>
      </c>
      <c r="E33" s="13" t="s">
        <v>1303</v>
      </c>
      <c r="F33" s="13" t="s">
        <v>1304</v>
      </c>
    </row>
    <row r="34" customFormat="false" ht="30" hidden="false" customHeight="true" outlineLevel="0" collapsed="false">
      <c r="A34" s="19" t="s">
        <v>1301</v>
      </c>
      <c r="B34" s="12" t="s">
        <v>1305</v>
      </c>
      <c r="C34" s="12" t="s">
        <v>1258</v>
      </c>
      <c r="D34" s="12" t="s">
        <v>1220</v>
      </c>
      <c r="E34" s="13" t="s">
        <v>1306</v>
      </c>
      <c r="F34" s="13" t="s">
        <v>1307</v>
      </c>
    </row>
    <row r="35" customFormat="false" ht="30" hidden="false" customHeight="true" outlineLevel="0" collapsed="false">
      <c r="A35" s="19" t="s">
        <v>1301</v>
      </c>
      <c r="B35" s="12" t="s">
        <v>1308</v>
      </c>
      <c r="C35" s="12" t="s">
        <v>1309</v>
      </c>
      <c r="D35" s="12" t="s">
        <v>1220</v>
      </c>
      <c r="E35" s="13" t="s">
        <v>1310</v>
      </c>
      <c r="F35" s="13" t="s">
        <v>1311</v>
      </c>
    </row>
    <row r="36" customFormat="false" ht="30" hidden="false" customHeight="true" outlineLevel="0" collapsed="false">
      <c r="A36" s="19" t="s">
        <v>1301</v>
      </c>
      <c r="B36" s="12" t="s">
        <v>1312</v>
      </c>
      <c r="C36" s="12" t="s">
        <v>1258</v>
      </c>
      <c r="D36" s="12" t="s">
        <v>1220</v>
      </c>
      <c r="E36" s="13" t="s">
        <v>1313</v>
      </c>
      <c r="F36" s="13" t="s">
        <v>1314</v>
      </c>
    </row>
    <row r="37" customFormat="false" ht="30" hidden="false" customHeight="true" outlineLevel="0" collapsed="false">
      <c r="A37" s="19" t="s">
        <v>1301</v>
      </c>
      <c r="B37" s="12" t="s">
        <v>1315</v>
      </c>
      <c r="C37" s="12" t="s">
        <v>1288</v>
      </c>
      <c r="D37" s="12" t="s">
        <v>1220</v>
      </c>
      <c r="E37" s="13" t="s">
        <v>1316</v>
      </c>
      <c r="F37" s="13" t="s">
        <v>1317</v>
      </c>
    </row>
    <row r="38" customFormat="false" ht="30" hidden="false" customHeight="true" outlineLevel="0" collapsed="false">
      <c r="A38" s="19" t="s">
        <v>1301</v>
      </c>
      <c r="B38" s="12" t="s">
        <v>1318</v>
      </c>
      <c r="C38" s="12" t="s">
        <v>1228</v>
      </c>
      <c r="D38" s="12" t="s">
        <v>1220</v>
      </c>
      <c r="E38" s="13" t="s">
        <v>1319</v>
      </c>
      <c r="F38" s="13" t="s">
        <v>52</v>
      </c>
    </row>
    <row r="39" customFormat="false" ht="30" hidden="false" customHeight="true" outlineLevel="0" collapsed="false">
      <c r="A39" s="19" t="s">
        <v>1301</v>
      </c>
      <c r="B39" s="12" t="s">
        <v>1320</v>
      </c>
      <c r="C39" s="12" t="s">
        <v>1252</v>
      </c>
      <c r="D39" s="12" t="s">
        <v>1220</v>
      </c>
      <c r="E39" s="13" t="s">
        <v>1321</v>
      </c>
      <c r="F39" s="13" t="s">
        <v>1322</v>
      </c>
    </row>
    <row r="40" customFormat="false" ht="30" hidden="false" customHeight="true" outlineLevel="0" collapsed="false">
      <c r="A40" s="21" t="s">
        <v>1323</v>
      </c>
      <c r="B40" s="12" t="s">
        <v>1324</v>
      </c>
      <c r="C40" s="12" t="s">
        <v>1203</v>
      </c>
      <c r="D40" s="12" t="s">
        <v>1204</v>
      </c>
      <c r="E40" s="13" t="s">
        <v>1325</v>
      </c>
      <c r="F40" s="13" t="s">
        <v>55</v>
      </c>
    </row>
    <row r="41" customFormat="false" ht="30" hidden="false" customHeight="true" outlineLevel="0" collapsed="false">
      <c r="A41" s="21" t="s">
        <v>1323</v>
      </c>
      <c r="B41" s="12" t="s">
        <v>1326</v>
      </c>
      <c r="C41" s="12" t="s">
        <v>1252</v>
      </c>
      <c r="D41" s="12" t="s">
        <v>1204</v>
      </c>
      <c r="E41" s="13" t="s">
        <v>1327</v>
      </c>
      <c r="F41" s="13" t="s">
        <v>1328</v>
      </c>
    </row>
    <row r="42" customFormat="false" ht="30" hidden="false" customHeight="true" outlineLevel="0" collapsed="false">
      <c r="A42" s="21" t="s">
        <v>1323</v>
      </c>
      <c r="B42" s="12" t="s">
        <v>1329</v>
      </c>
      <c r="C42" s="12" t="s">
        <v>1203</v>
      </c>
      <c r="D42" s="12" t="s">
        <v>1204</v>
      </c>
      <c r="E42" s="13" t="s">
        <v>1330</v>
      </c>
      <c r="F42" s="13" t="s">
        <v>56</v>
      </c>
    </row>
    <row r="43" customFormat="false" ht="30" hidden="false" customHeight="true" outlineLevel="0" collapsed="false">
      <c r="A43" s="21" t="s">
        <v>1323</v>
      </c>
      <c r="B43" s="12" t="s">
        <v>1331</v>
      </c>
      <c r="C43" s="12" t="s">
        <v>1252</v>
      </c>
      <c r="D43" s="12" t="s">
        <v>1220</v>
      </c>
      <c r="E43" s="13" t="s">
        <v>1332</v>
      </c>
      <c r="F43" s="13" t="s">
        <v>1333</v>
      </c>
    </row>
    <row r="44" customFormat="false" ht="30" hidden="false" customHeight="true" outlineLevel="0" collapsed="false">
      <c r="A44" s="22" t="s">
        <v>1334</v>
      </c>
      <c r="B44" s="12" t="s">
        <v>1335</v>
      </c>
      <c r="C44" s="12" t="s">
        <v>1219</v>
      </c>
      <c r="D44" s="12" t="s">
        <v>1204</v>
      </c>
      <c r="E44" s="13" t="s">
        <v>1336</v>
      </c>
      <c r="F44" s="13" t="s">
        <v>1337</v>
      </c>
    </row>
    <row r="45" customFormat="false" ht="30" hidden="false" customHeight="true" outlineLevel="0" collapsed="false">
      <c r="A45" s="22" t="s">
        <v>1334</v>
      </c>
      <c r="B45" s="12" t="s">
        <v>1338</v>
      </c>
      <c r="C45" s="12" t="s">
        <v>1203</v>
      </c>
      <c r="D45" s="12" t="s">
        <v>1204</v>
      </c>
      <c r="E45" s="13" t="s">
        <v>1339</v>
      </c>
      <c r="F45" s="13" t="s">
        <v>1340</v>
      </c>
    </row>
    <row r="46" customFormat="false" ht="30" hidden="false" customHeight="true" outlineLevel="0" collapsed="false">
      <c r="A46" s="22" t="s">
        <v>1334</v>
      </c>
      <c r="B46" s="12" t="s">
        <v>1341</v>
      </c>
      <c r="C46" s="12" t="s">
        <v>1203</v>
      </c>
      <c r="D46" s="12" t="s">
        <v>1220</v>
      </c>
      <c r="E46" s="13" t="s">
        <v>1342</v>
      </c>
      <c r="F46" s="13" t="s">
        <v>1343</v>
      </c>
    </row>
    <row r="47" customFormat="false" ht="30" hidden="false" customHeight="true" outlineLevel="0" collapsed="false">
      <c r="A47" s="22" t="s">
        <v>1334</v>
      </c>
      <c r="B47" s="12" t="s">
        <v>1344</v>
      </c>
      <c r="C47" s="12" t="s">
        <v>1345</v>
      </c>
      <c r="D47" s="12" t="s">
        <v>1204</v>
      </c>
      <c r="E47" s="13" t="s">
        <v>1346</v>
      </c>
      <c r="F47" s="13" t="s">
        <v>1347</v>
      </c>
    </row>
    <row r="48" customFormat="false" ht="30" hidden="false" customHeight="true" outlineLevel="0" collapsed="false">
      <c r="A48" s="22" t="s">
        <v>1334</v>
      </c>
      <c r="B48" s="12" t="s">
        <v>1348</v>
      </c>
      <c r="C48" s="12" t="s">
        <v>1288</v>
      </c>
      <c r="D48" s="12" t="s">
        <v>1220</v>
      </c>
      <c r="E48" s="13" t="s">
        <v>1349</v>
      </c>
      <c r="F48" s="13" t="s">
        <v>1350</v>
      </c>
    </row>
    <row r="49" customFormat="false" ht="30" hidden="false" customHeight="true" outlineLevel="0" collapsed="false">
      <c r="A49" s="23" t="s">
        <v>1351</v>
      </c>
      <c r="B49" s="12" t="s">
        <v>1352</v>
      </c>
      <c r="C49" s="12" t="s">
        <v>1203</v>
      </c>
      <c r="D49" s="12" t="s">
        <v>1204</v>
      </c>
      <c r="E49" s="13" t="s">
        <v>1353</v>
      </c>
      <c r="F49" s="13" t="s">
        <v>1354</v>
      </c>
    </row>
    <row r="50" customFormat="false" ht="30" hidden="false" customHeight="true" outlineLevel="0" collapsed="false">
      <c r="A50" s="23" t="s">
        <v>1351</v>
      </c>
      <c r="B50" s="12" t="s">
        <v>1355</v>
      </c>
      <c r="C50" s="12" t="s">
        <v>1203</v>
      </c>
      <c r="D50" s="12" t="s">
        <v>1220</v>
      </c>
      <c r="E50" s="13" t="s">
        <v>1356</v>
      </c>
      <c r="F50" s="13" t="s">
        <v>1357</v>
      </c>
    </row>
    <row r="51" customFormat="false" ht="30" hidden="false" customHeight="true" outlineLevel="0" collapsed="false">
      <c r="A51" s="23" t="s">
        <v>1351</v>
      </c>
      <c r="B51" s="12" t="s">
        <v>1358</v>
      </c>
      <c r="C51" s="12" t="s">
        <v>1345</v>
      </c>
      <c r="D51" s="12" t="s">
        <v>1204</v>
      </c>
      <c r="E51" s="13" t="s">
        <v>1359</v>
      </c>
      <c r="F51" s="13" t="s">
        <v>1360</v>
      </c>
    </row>
    <row r="52" customFormat="false" ht="30" hidden="false" customHeight="true" outlineLevel="0" collapsed="false">
      <c r="A52" s="24" t="s">
        <v>1361</v>
      </c>
      <c r="B52" s="12" t="s">
        <v>1362</v>
      </c>
      <c r="C52" s="12" t="s">
        <v>1363</v>
      </c>
      <c r="D52" s="12" t="s">
        <v>1204</v>
      </c>
      <c r="E52" s="13" t="s">
        <v>1364</v>
      </c>
      <c r="F52" s="13" t="s">
        <v>68</v>
      </c>
    </row>
    <row r="53" customFormat="false" ht="30" hidden="false" customHeight="true" outlineLevel="0" collapsed="false">
      <c r="A53" s="24" t="s">
        <v>1361</v>
      </c>
      <c r="B53" s="12" t="s">
        <v>1365</v>
      </c>
      <c r="C53" s="12" t="s">
        <v>1252</v>
      </c>
      <c r="D53" s="12" t="s">
        <v>1204</v>
      </c>
      <c r="E53" s="13" t="s">
        <v>1366</v>
      </c>
      <c r="F53" s="13" t="s">
        <v>69</v>
      </c>
    </row>
    <row r="54" customFormat="false" ht="30" hidden="false" customHeight="true" outlineLevel="0" collapsed="false">
      <c r="A54" s="24" t="s">
        <v>1361</v>
      </c>
      <c r="B54" s="12" t="s">
        <v>1367</v>
      </c>
      <c r="C54" s="12" t="s">
        <v>1203</v>
      </c>
      <c r="D54" s="12" t="s">
        <v>1220</v>
      </c>
      <c r="E54" s="13" t="s">
        <v>1368</v>
      </c>
      <c r="F54" s="13" t="s">
        <v>1369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2026-07-14T10:06:11Z</dcterms:created>
  <dc:creator>openpyxl</dc:creator>
  <dc:description/>
  <dc:language>en-US</dc:language>
  <cp:lastModifiedBy/>
  <dcterms:modified xsi:type="dcterms:W3CDTF">2026-07-14T10:06:11Z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